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2713CD74-70BF-49D2-8D90-1DABC5ADD2C3}" xr6:coauthVersionLast="47" xr6:coauthVersionMax="47" xr10:uidLastSave="{00000000-0000-0000-0000-000000000000}"/>
  <bookViews>
    <workbookView xWindow="-120" yWindow="-120" windowWidth="20730" windowHeight="11160" xr2:uid="{00000000-000D-0000-FFFF-FFFF00000000}"/>
  </bookViews>
  <sheets>
    <sheet name="Home" sheetId="8" r:id="rId1"/>
    <sheet name="Raw Data" sheetId="1" r:id="rId2"/>
    <sheet name="Marks analysis" sheetId="5" r:id="rId3"/>
    <sheet name="Grade Distribution " sheetId="6" r:id="rId4"/>
    <sheet name="Subject Average" sheetId="7" r:id="rId5"/>
    <sheet name=" Class Metrics " sheetId="4" r:id="rId6"/>
  </sheets>
  <calcPr calcId="191029"/>
  <pivotCaches>
    <pivotCache cacheId="0" r:id="rId7"/>
    <pivotCache cacheId="1" r:id="rId8"/>
    <pivotCache cacheId="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9" i="1" l="1"/>
  <c r="F33" i="4" a="1"/>
  <c r="F33" i="4" s="1"/>
  <c r="G33" i="4" a="1"/>
  <c r="G33" i="4" s="1"/>
  <c r="H33" i="4" a="1"/>
  <c r="H33" i="4" s="1"/>
  <c r="I33" i="4" a="1"/>
  <c r="I33" i="4" s="1"/>
  <c r="E33" i="4" a="1"/>
  <c r="E33" i="4" s="1"/>
  <c r="D33" i="4"/>
  <c r="C33" i="4"/>
  <c r="B33" i="4"/>
  <c r="C4" i="4"/>
  <c r="O29" i="1" l="1"/>
  <c r="R29" i="1" s="1"/>
  <c r="Q29" i="1" a="1"/>
  <c r="Q29" i="1" s="1"/>
  <c r="P29" i="1" s="1" a="1"/>
  <c r="P29" i="1" s="1"/>
  <c r="L2" i="1"/>
  <c r="L3" i="1"/>
  <c r="L4" i="1"/>
  <c r="L5" i="1"/>
  <c r="L6" i="1"/>
  <c r="L7" i="1"/>
  <c r="L8" i="1"/>
  <c r="L9" i="1"/>
  <c r="L10" i="1"/>
  <c r="L11" i="1"/>
  <c r="L12" i="1"/>
  <c r="L13" i="1"/>
  <c r="L14" i="1"/>
  <c r="L15" i="1"/>
  <c r="L16" i="1"/>
  <c r="L17" i="1"/>
  <c r="L18" i="1"/>
  <c r="L19" i="1"/>
  <c r="L20" i="1"/>
  <c r="L21" i="1"/>
  <c r="L22" i="1"/>
  <c r="L23" i="1"/>
  <c r="L24" i="1"/>
  <c r="L25" i="1"/>
  <c r="N25" i="1" s="1"/>
  <c r="L26" i="1"/>
  <c r="L27" i="1"/>
  <c r="L28" i="1"/>
  <c r="N21" i="1" l="1"/>
  <c r="N17" i="1"/>
  <c r="M17" i="1" s="1"/>
  <c r="N13" i="1"/>
  <c r="N9" i="1"/>
  <c r="N27" i="1"/>
  <c r="N23" i="1"/>
  <c r="N19" i="1"/>
  <c r="N11" i="1"/>
  <c r="N7" i="1"/>
  <c r="N3" i="1"/>
  <c r="N29" i="1"/>
  <c r="N26" i="1"/>
  <c r="N22" i="1"/>
  <c r="N18" i="1"/>
  <c r="N14" i="1"/>
  <c r="N10" i="1"/>
  <c r="N6" i="1"/>
  <c r="N2" i="1"/>
  <c r="M2" i="1" s="1"/>
  <c r="N5" i="1"/>
  <c r="N28" i="1"/>
  <c r="N24" i="1"/>
  <c r="N20" i="1"/>
  <c r="N16" i="1"/>
  <c r="N12" i="1"/>
  <c r="N8" i="1"/>
  <c r="N4" i="1"/>
  <c r="N15" i="1"/>
  <c r="O19" i="1"/>
  <c r="M11" i="1"/>
  <c r="O3" i="1"/>
  <c r="R3" i="1" s="1"/>
  <c r="M15" i="1"/>
  <c r="M14" i="1"/>
  <c r="O6" i="1"/>
  <c r="R6" i="1" s="1"/>
  <c r="O11" i="1"/>
  <c r="R11" i="1" s="1"/>
  <c r="M13" i="1"/>
  <c r="O24" i="1"/>
  <c r="R24" i="1" s="1"/>
  <c r="M16" i="1"/>
  <c r="M12" i="1"/>
  <c r="O4" i="1"/>
  <c r="M29" i="1"/>
  <c r="B18" i="4" a="1"/>
  <c r="B18" i="4" s="1"/>
  <c r="C8" i="4"/>
  <c r="O5" i="1"/>
  <c r="R5" i="1" s="1"/>
  <c r="C18" i="4" a="1"/>
  <c r="C12" i="4" a="1"/>
  <c r="B12" i="4" a="1"/>
  <c r="B12" i="4" s="1"/>
  <c r="R4" i="1"/>
  <c r="Q4" i="1" a="1"/>
  <c r="Q4" i="1" s="1"/>
  <c r="P4" i="1" s="1" a="1"/>
  <c r="P4" i="1" s="1"/>
  <c r="R19" i="1"/>
  <c r="Q19" i="1" a="1"/>
  <c r="Q19" i="1" s="1"/>
  <c r="P19" i="1" s="1" a="1"/>
  <c r="P19" i="1" s="1"/>
  <c r="Q6" i="1" a="1"/>
  <c r="Q6" i="1" s="1"/>
  <c r="P6" i="1" s="1" a="1"/>
  <c r="P6" i="1" s="1"/>
  <c r="O18" i="1"/>
  <c r="Q18" i="1" s="1" a="1"/>
  <c r="Q18" i="1" s="1"/>
  <c r="P18" i="1" s="1" a="1"/>
  <c r="P18" i="1" s="1"/>
  <c r="O14" i="1"/>
  <c r="Q14" i="1" s="1" a="1"/>
  <c r="Q14" i="1" s="1"/>
  <c r="P14" i="1" s="1" a="1"/>
  <c r="P14" i="1" s="1"/>
  <c r="O22" i="1"/>
  <c r="Q22" i="1" s="1" a="1"/>
  <c r="Q22" i="1" s="1"/>
  <c r="P22" i="1" s="1" a="1"/>
  <c r="P22" i="1" s="1"/>
  <c r="M25" i="1"/>
  <c r="O10" i="1"/>
  <c r="Q10" i="1" s="1" a="1"/>
  <c r="Q10" i="1" s="1"/>
  <c r="P10" i="1" s="1" a="1"/>
  <c r="P10" i="1" s="1"/>
  <c r="O26" i="1"/>
  <c r="Q26" i="1" s="1" a="1"/>
  <c r="Q26" i="1" s="1"/>
  <c r="P26" i="1" s="1" a="1"/>
  <c r="P26" i="1" s="1"/>
  <c r="M9" i="1"/>
  <c r="M28" i="1"/>
  <c r="M20" i="1"/>
  <c r="M4" i="1"/>
  <c r="O12" i="1"/>
  <c r="Q12" i="1" s="1" a="1"/>
  <c r="Q12" i="1" s="1"/>
  <c r="P12" i="1" s="1" a="1"/>
  <c r="P12" i="1" s="1"/>
  <c r="O28" i="1"/>
  <c r="Q28" i="1" s="1" a="1"/>
  <c r="Q28" i="1" s="1"/>
  <c r="P28" i="1" s="1" a="1"/>
  <c r="P28" i="1" s="1"/>
  <c r="M27" i="1"/>
  <c r="M19" i="1"/>
  <c r="M5" i="1"/>
  <c r="O25" i="1"/>
  <c r="Q25" i="1" s="1" a="1"/>
  <c r="Q25" i="1" s="1"/>
  <c r="P25" i="1" s="1" a="1"/>
  <c r="P25" i="1" s="1"/>
  <c r="M24" i="1"/>
  <c r="M8" i="1"/>
  <c r="O16" i="1"/>
  <c r="Q16" i="1" s="1" a="1"/>
  <c r="Q16" i="1" s="1"/>
  <c r="P16" i="1" s="1" a="1"/>
  <c r="P16" i="1" s="1"/>
  <c r="O20" i="1"/>
  <c r="Q20" i="1" s="1" a="1"/>
  <c r="Q20" i="1" s="1"/>
  <c r="P20" i="1" s="1" a="1"/>
  <c r="P20" i="1" s="1"/>
  <c r="O13" i="1"/>
  <c r="Q13" i="1" s="1" a="1"/>
  <c r="Q13" i="1" s="1"/>
  <c r="P13" i="1" s="1" a="1"/>
  <c r="P13" i="1" s="1"/>
  <c r="O8" i="1"/>
  <c r="Q8" i="1" s="1" a="1"/>
  <c r="Q8" i="1" s="1"/>
  <c r="P8" i="1" s="1" a="1"/>
  <c r="P8" i="1" s="1"/>
  <c r="M26" i="1"/>
  <c r="M22" i="1"/>
  <c r="M18" i="1"/>
  <c r="M10" i="1"/>
  <c r="M6" i="1"/>
  <c r="M23" i="1"/>
  <c r="M3" i="1"/>
  <c r="O27" i="1"/>
  <c r="Q27" i="1" s="1" a="1"/>
  <c r="Q27" i="1" s="1"/>
  <c r="P27" i="1" s="1" a="1"/>
  <c r="P27" i="1" s="1"/>
  <c r="O7" i="1"/>
  <c r="Q7" i="1" s="1" a="1"/>
  <c r="Q7" i="1" s="1"/>
  <c r="P7" i="1" s="1" a="1"/>
  <c r="P7" i="1" s="1"/>
  <c r="O23" i="1"/>
  <c r="Q23" i="1" s="1" a="1"/>
  <c r="Q23" i="1" s="1"/>
  <c r="P23" i="1" s="1" a="1"/>
  <c r="P23" i="1" s="1"/>
  <c r="O15" i="1"/>
  <c r="Q15" i="1" s="1" a="1"/>
  <c r="Q15" i="1" s="1"/>
  <c r="P15" i="1" s="1" a="1"/>
  <c r="P15" i="1" s="1"/>
  <c r="M21" i="1"/>
  <c r="M7" i="1"/>
  <c r="O17" i="1"/>
  <c r="Q17" i="1" s="1" a="1"/>
  <c r="Q17" i="1" s="1"/>
  <c r="P17" i="1" s="1" a="1"/>
  <c r="P17" i="1" s="1"/>
  <c r="O9" i="1"/>
  <c r="Q9" i="1" s="1" a="1"/>
  <c r="Q9" i="1" s="1"/>
  <c r="P9" i="1" s="1" a="1"/>
  <c r="P9" i="1" s="1"/>
  <c r="O21" i="1"/>
  <c r="Q21" i="1" s="1" a="1"/>
  <c r="Q21" i="1" s="1"/>
  <c r="P21" i="1" s="1" a="1"/>
  <c r="P21" i="1" s="1"/>
  <c r="O2" i="1"/>
  <c r="Q2" i="1" s="1" a="1"/>
  <c r="Q2" i="1" s="1"/>
  <c r="Q3" i="1" l="1" a="1"/>
  <c r="Q3" i="1" s="1"/>
  <c r="P3" i="1" s="1" a="1"/>
  <c r="P3" i="1" s="1"/>
  <c r="Q24" i="1" a="1"/>
  <c r="Q24" i="1" s="1"/>
  <c r="P24" i="1" s="1" a="1"/>
  <c r="P24" i="1" s="1"/>
  <c r="Q11" i="1" a="1"/>
  <c r="Q11" i="1" s="1"/>
  <c r="P11" i="1" s="1" a="1"/>
  <c r="P11" i="1" s="1"/>
  <c r="Q5" i="1" a="1"/>
  <c r="Q5" i="1" s="1"/>
  <c r="P5" i="1" s="1" a="1"/>
  <c r="P5" i="1" s="1"/>
  <c r="D14" i="4" s="1"/>
  <c r="C12" i="4"/>
  <c r="D24" i="4" s="1"/>
  <c r="C24" i="4" s="1" a="1"/>
  <c r="C24" i="4" s="1"/>
  <c r="C18" i="4"/>
  <c r="D25" i="4" s="1"/>
  <c r="C25" i="4" s="1" a="1"/>
  <c r="C25" i="4" s="1"/>
  <c r="E20" i="4"/>
  <c r="E21" i="4"/>
  <c r="E22" i="4"/>
  <c r="E19" i="4"/>
  <c r="D21" i="4"/>
  <c r="D20" i="4"/>
  <c r="D19" i="4"/>
  <c r="D22" i="4"/>
  <c r="E13" i="4"/>
  <c r="D16" i="4"/>
  <c r="D15" i="4"/>
  <c r="E14" i="4"/>
  <c r="E16" i="4"/>
  <c r="E15" i="4"/>
  <c r="P2" i="1" a="1"/>
  <c r="P2" i="1" s="1"/>
  <c r="R2" i="1"/>
  <c r="R28" i="1"/>
  <c r="R22" i="1"/>
  <c r="R27" i="1"/>
  <c r="R13" i="1"/>
  <c r="R12" i="1"/>
  <c r="R9" i="1"/>
  <c r="R15" i="1"/>
  <c r="R20" i="1"/>
  <c r="R25" i="1"/>
  <c r="R10" i="1"/>
  <c r="R18" i="1"/>
  <c r="R7" i="1"/>
  <c r="R8" i="1"/>
  <c r="R21" i="1"/>
  <c r="R26" i="1"/>
  <c r="R14" i="1"/>
  <c r="R17" i="1"/>
  <c r="R23" i="1"/>
  <c r="R16" i="1"/>
  <c r="C5" i="4" l="1"/>
  <c r="C6" i="4" s="1"/>
  <c r="C7" i="4"/>
  <c r="C9" i="4" s="1"/>
  <c r="D13" i="4"/>
  <c r="D28" i="4"/>
  <c r="D29" i="4" s="1"/>
  <c r="C28" i="4"/>
  <c r="C29" i="4" s="1"/>
  <c r="G28" i="4"/>
  <c r="G29" i="4" s="1"/>
  <c r="E28" i="4"/>
  <c r="E29" i="4" s="1"/>
  <c r="F28" i="4"/>
  <c r="F29" i="4" s="1"/>
  <c r="D18" i="4"/>
  <c r="E18" i="4"/>
  <c r="E12" i="4"/>
  <c r="D1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<sst xmlns="http://schemas.openxmlformats.org/spreadsheetml/2006/main" count="154" uniqueCount="96">
  <si>
    <t>Eng Test</t>
  </si>
  <si>
    <t>Nazira</t>
  </si>
  <si>
    <t>Sudais</t>
  </si>
  <si>
    <t>Talha</t>
  </si>
  <si>
    <t>Abid</t>
  </si>
  <si>
    <t>Touseef</t>
  </si>
  <si>
    <t>Waqas</t>
  </si>
  <si>
    <t>Amir Nazir</t>
  </si>
  <si>
    <t>Rashid Ullah</t>
  </si>
  <si>
    <t>Afaq</t>
  </si>
  <si>
    <t>Hesham</t>
  </si>
  <si>
    <t>Salim</t>
  </si>
  <si>
    <t>Asad Ullah</t>
  </si>
  <si>
    <t>Salman</t>
  </si>
  <si>
    <t>Fawad</t>
  </si>
  <si>
    <t>Hamayon</t>
  </si>
  <si>
    <t xml:space="preserve">Nasir </t>
  </si>
  <si>
    <t>Senan</t>
  </si>
  <si>
    <t>Ahmad</t>
  </si>
  <si>
    <t>Talal</t>
  </si>
  <si>
    <t>Misbah</t>
  </si>
  <si>
    <t>Hamza</t>
  </si>
  <si>
    <t>Sahil</t>
  </si>
  <si>
    <t>Alfan</t>
  </si>
  <si>
    <t>Qasim</t>
  </si>
  <si>
    <t xml:space="preserve">Bihzad </t>
  </si>
  <si>
    <t>Dilshan</t>
  </si>
  <si>
    <t>Seyab</t>
  </si>
  <si>
    <t>Mosawer</t>
  </si>
  <si>
    <t>Total</t>
  </si>
  <si>
    <t>Name</t>
  </si>
  <si>
    <t>A</t>
  </si>
  <si>
    <t>Rank</t>
  </si>
  <si>
    <t>Status</t>
  </si>
  <si>
    <t>Grade</t>
  </si>
  <si>
    <t>Performance</t>
  </si>
  <si>
    <t>Percentage</t>
  </si>
  <si>
    <t>S.NO</t>
  </si>
  <si>
    <t>Maths</t>
  </si>
  <si>
    <t>Rol No</t>
  </si>
  <si>
    <t>English</t>
  </si>
  <si>
    <t>Urdu</t>
  </si>
  <si>
    <t>Science</t>
  </si>
  <si>
    <t>Islamyat</t>
  </si>
  <si>
    <t>Urdu Test</t>
  </si>
  <si>
    <t>Name for Rank</t>
  </si>
  <si>
    <t>Total Students</t>
  </si>
  <si>
    <t>%</t>
  </si>
  <si>
    <t>Total Pass</t>
  </si>
  <si>
    <t>Total Fail</t>
  </si>
  <si>
    <t>Failure Rate</t>
  </si>
  <si>
    <t>B</t>
  </si>
  <si>
    <t>C</t>
  </si>
  <si>
    <t>D</t>
  </si>
  <si>
    <t>F</t>
  </si>
  <si>
    <t>Class overview</t>
  </si>
  <si>
    <t>Pass Rate</t>
  </si>
  <si>
    <t>Grade Distribution</t>
  </si>
  <si>
    <t>Grade Count</t>
  </si>
  <si>
    <t>Class Average</t>
  </si>
  <si>
    <t>METRICS:</t>
  </si>
  <si>
    <r>
      <t>Top 5 Students (Performers)</t>
    </r>
    <r>
      <rPr>
        <b/>
        <sz val="14"/>
        <color theme="4"/>
        <rFont val="Calibri"/>
        <family val="2"/>
        <scheme val="minor"/>
      </rPr>
      <t>🥇</t>
    </r>
  </si>
  <si>
    <r>
      <t>Bottom 5 Students</t>
    </r>
    <r>
      <rPr>
        <b/>
        <sz val="14"/>
        <color rgb="FF002060"/>
        <rFont val="Calibri"/>
        <family val="2"/>
        <scheme val="minor"/>
      </rPr>
      <t>🔻</t>
    </r>
  </si>
  <si>
    <r>
      <t xml:space="preserve">Lowest Score </t>
    </r>
    <r>
      <rPr>
        <b/>
        <sz val="12"/>
        <color rgb="FFC00000"/>
        <rFont val="Calibri"/>
        <family val="2"/>
        <scheme val="minor"/>
      </rPr>
      <t>⚠️</t>
    </r>
  </si>
  <si>
    <r>
      <t>Highest Score</t>
    </r>
    <r>
      <rPr>
        <b/>
        <sz val="12"/>
        <color rgb="FF00B050"/>
        <rFont val="Calibri"/>
        <family val="2"/>
        <scheme val="minor"/>
      </rPr>
      <t>⭐</t>
    </r>
  </si>
  <si>
    <t>Row Labels</t>
  </si>
  <si>
    <t>(blank)</t>
  </si>
  <si>
    <t>Grand Total</t>
  </si>
  <si>
    <t>Sum of Total</t>
  </si>
  <si>
    <t>Sum of A</t>
  </si>
  <si>
    <t>Sum of B</t>
  </si>
  <si>
    <t>Sum of C</t>
  </si>
  <si>
    <t>Sum of D</t>
  </si>
  <si>
    <t>Sum of F</t>
  </si>
  <si>
    <t>Per Subject Average</t>
  </si>
  <si>
    <t>Sum of English</t>
  </si>
  <si>
    <t>Sum of Urdu</t>
  </si>
  <si>
    <t>Sum of Maths</t>
  </si>
  <si>
    <t>Sum of Science</t>
  </si>
  <si>
    <t>Sum of Islamyat</t>
  </si>
  <si>
    <t>Sum of Eng Test</t>
  </si>
  <si>
    <t>Sum of Urdu Test</t>
  </si>
  <si>
    <t>Sum of Nazira</t>
  </si>
  <si>
    <t>Students Marks Analysis</t>
  </si>
  <si>
    <t>Over all Grades Analysis</t>
  </si>
  <si>
    <t>Raw Data 
Click Here</t>
  </si>
  <si>
    <t>Go back to home</t>
  </si>
  <si>
    <t>Click Here</t>
  </si>
  <si>
    <t>Open Raw Data</t>
  </si>
  <si>
    <t>Open Mark Analysis</t>
  </si>
  <si>
    <t>Open Subjects Average</t>
  </si>
  <si>
    <t>Open Grade Distribution</t>
  </si>
  <si>
    <t>Open Class Metrics</t>
  </si>
  <si>
    <r>
      <rPr>
        <i/>
        <sz val="12"/>
        <color theme="1"/>
        <rFont val="Calibri"/>
        <family val="2"/>
        <scheme val="minor"/>
      </rPr>
      <t xml:space="preserve">
</t>
    </r>
    <r>
      <rPr>
        <b/>
        <i/>
        <sz val="18"/>
        <color theme="1"/>
        <rFont val="Calibri"/>
        <family val="2"/>
        <scheme val="minor"/>
      </rPr>
      <t xml:space="preserve">  Instructions:</t>
    </r>
    <r>
      <rPr>
        <i/>
        <sz val="12"/>
        <color theme="1"/>
        <rFont val="Calibri"/>
        <family val="2"/>
        <scheme val="minor"/>
      </rPr>
      <t xml:space="preserve">
1) Click the given hyper link to open the sheet your are looking for. All sheet are given with the names with one click it will redirect you to the sheet you looking for.
2) When you open the desire sheet ,when ever you want to retrun just click the Go back Home hyprlink and you wil back to home sheet.
3) You can find the sheets manually too . but simply clicking from home sheet will give you easy acceses  and will save your time.</t>
    </r>
  </si>
  <si>
    <t>Adnan</t>
  </si>
  <si>
    <t>Subject Wise Mark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</si>
</sst>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24" x14ac:knownFonts="1">
    <font>
      <sz val="11"/>
      <color theme="1"/>
      <name val="Calibri"/>
      <family val="2"/>
      <scheme val="minor"/>
    </font>
    <font>
      <b/>
      <sz val="11"/>
      <color theme="1"/>
      <name val="Calibri"/>
      <family val="2"/>
      <scheme val="minor"/>
    </font>
    <font>
      <b/>
      <sz val="11"/>
      <color rgb="FF000000"/>
      <name val="Calibri"/>
      <family val="2"/>
      <scheme val="minor"/>
    </font>
    <font>
      <sz val="11"/>
      <color theme="1"/>
      <name val="Calibri"/>
      <family val="2"/>
      <scheme val="minor"/>
    </font>
    <font>
      <sz val="11"/>
      <name val="Calibri"/>
      <family val="2"/>
      <scheme val="minor"/>
    </font>
    <font>
      <sz val="8"/>
      <name val="Calibri"/>
      <family val="2"/>
      <scheme val="minor"/>
    </font>
    <font>
      <b/>
      <sz val="10"/>
      <color theme="1"/>
      <name val="Calibri"/>
      <family val="2"/>
      <scheme val="minor"/>
    </font>
    <font>
      <b/>
      <sz val="14"/>
      <color theme="1"/>
      <name val="Calibri"/>
      <family val="2"/>
      <scheme val="minor"/>
    </font>
    <font>
      <b/>
      <sz val="14"/>
      <color theme="0"/>
      <name val="Calibri"/>
      <family val="2"/>
      <scheme val="minor"/>
    </font>
    <font>
      <b/>
      <sz val="18"/>
      <color theme="1"/>
      <name val="Calibri"/>
      <family val="2"/>
      <scheme val="minor"/>
    </font>
    <font>
      <b/>
      <sz val="11"/>
      <name val="Calibri"/>
      <family val="2"/>
      <scheme val="minor"/>
    </font>
    <font>
      <b/>
      <sz val="12"/>
      <color theme="1"/>
      <name val="Calibri"/>
      <family val="2"/>
      <scheme val="minor"/>
    </font>
    <font>
      <b/>
      <sz val="14"/>
      <color theme="4"/>
      <name val="Calibri"/>
      <family val="2"/>
      <scheme val="minor"/>
    </font>
    <font>
      <b/>
      <sz val="14"/>
      <color rgb="FF002060"/>
      <name val="Calibri"/>
      <family val="2"/>
      <scheme val="minor"/>
    </font>
    <font>
      <b/>
      <sz val="12"/>
      <color rgb="FFC00000"/>
      <name val="Calibri"/>
      <family val="2"/>
      <scheme val="minor"/>
    </font>
    <font>
      <b/>
      <sz val="12"/>
      <color rgb="FF00B050"/>
      <name val="Calibri"/>
      <family val="2"/>
      <scheme val="minor"/>
    </font>
    <font>
      <u/>
      <sz val="11"/>
      <color theme="10"/>
      <name val="Calibri"/>
      <family val="2"/>
      <scheme val="minor"/>
    </font>
    <font>
      <b/>
      <sz val="16"/>
      <color theme="1"/>
      <name val="Calibri"/>
      <family val="2"/>
      <scheme val="minor"/>
    </font>
    <font>
      <u/>
      <sz val="18"/>
      <color theme="10"/>
      <name val="Calibri"/>
      <family val="2"/>
      <scheme val="minor"/>
    </font>
    <font>
      <u/>
      <sz val="20"/>
      <color theme="10"/>
      <name val="Calibri"/>
      <family val="2"/>
      <scheme val="minor"/>
    </font>
    <font>
      <u/>
      <sz val="24"/>
      <color theme="10"/>
      <name val="Calibri"/>
      <family val="2"/>
      <scheme val="minor"/>
    </font>
    <font>
      <i/>
      <sz val="11"/>
      <color theme="1"/>
      <name val="Calibri"/>
      <family val="2"/>
      <scheme val="minor"/>
    </font>
    <font>
      <i/>
      <sz val="12"/>
      <color theme="1"/>
      <name val="Calibri"/>
      <family val="2"/>
      <scheme val="minor"/>
    </font>
    <font>
      <b/>
      <i/>
      <sz val="18"/>
      <color theme="1"/>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rgb="FFFF000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1"/>
        <bgColor indexed="64"/>
      </patternFill>
    </fill>
    <fill>
      <patternFill patternType="solid">
        <fgColor theme="2"/>
        <bgColor indexed="64"/>
      </patternFill>
    </fill>
    <fill>
      <patternFill patternType="solid">
        <fgColor theme="7"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bottom style="thin">
        <color indexed="64"/>
      </bottom>
      <diagonal/>
    </border>
    <border>
      <left/>
      <right/>
      <top/>
      <bottom style="double">
        <color indexed="64"/>
      </bottom>
      <diagonal/>
    </border>
    <border>
      <left/>
      <right/>
      <top style="double">
        <color indexed="64"/>
      </top>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style="double">
        <color indexed="64"/>
      </right>
      <top/>
      <bottom style="double">
        <color indexed="64"/>
      </bottom>
      <diagonal/>
    </border>
  </borders>
  <cellStyleXfs count="3">
    <xf numFmtId="0" fontId="0" fillId="0" borderId="0"/>
    <xf numFmtId="9" fontId="3" fillId="0" borderId="0" applyFont="0" applyFill="0" applyBorder="0" applyAlignment="0" applyProtection="0"/>
    <xf numFmtId="0" fontId="16" fillId="0" borderId="0" applyNumberFormat="0" applyFill="0" applyBorder="0" applyAlignment="0" applyProtection="0"/>
  </cellStyleXfs>
  <cellXfs count="85">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4" fillId="2" borderId="0" xfId="0" applyFont="1" applyFill="1" applyAlignment="1">
      <alignment horizontal="center"/>
    </xf>
    <xf numFmtId="0" fontId="4" fillId="2" borderId="0" xfId="0" applyFont="1" applyFill="1" applyAlignment="1">
      <alignment horizontal="center" vertical="center"/>
    </xf>
    <xf numFmtId="0" fontId="6" fillId="2" borderId="0" xfId="0" applyFont="1" applyFill="1"/>
    <xf numFmtId="0" fontId="4" fillId="0" borderId="0" xfId="0" applyFont="1"/>
    <xf numFmtId="0" fontId="1" fillId="4" borderId="2" xfId="0" applyFont="1" applyFill="1" applyBorder="1" applyAlignment="1">
      <alignment horizontal="center" vertical="center"/>
    </xf>
    <xf numFmtId="0" fontId="1" fillId="3" borderId="0" xfId="0" applyFont="1" applyFill="1" applyAlignment="1">
      <alignment horizontal="center" vertical="center"/>
    </xf>
    <xf numFmtId="0" fontId="2" fillId="3" borderId="0" xfId="0" applyFont="1" applyFill="1" applyAlignment="1">
      <alignment horizontal="center" vertical="center"/>
    </xf>
    <xf numFmtId="0" fontId="4" fillId="4" borderId="0" xfId="0" applyFont="1" applyFill="1" applyAlignment="1">
      <alignment horizontal="center" vertical="center"/>
    </xf>
    <xf numFmtId="9" fontId="0" fillId="0" borderId="0" xfId="1" applyFont="1" applyBorder="1" applyAlignment="1">
      <alignment horizontal="center" vertical="center"/>
    </xf>
    <xf numFmtId="0" fontId="4" fillId="2" borderId="1" xfId="0" applyFont="1" applyFill="1" applyBorder="1" applyAlignment="1">
      <alignment horizontal="center"/>
    </xf>
    <xf numFmtId="0" fontId="0" fillId="5" borderId="0" xfId="0" applyFill="1" applyAlignment="1">
      <alignment horizontal="center" vertical="center"/>
    </xf>
    <xf numFmtId="9" fontId="0" fillId="0" borderId="0" xfId="1" applyFont="1" applyAlignment="1">
      <alignment horizontal="center" vertical="center"/>
    </xf>
    <xf numFmtId="0" fontId="7" fillId="6" borderId="0" xfId="0" applyFont="1" applyFill="1" applyAlignment="1">
      <alignment horizontal="center" vertical="center"/>
    </xf>
    <xf numFmtId="0" fontId="0" fillId="6" borderId="0" xfId="0" applyFill="1"/>
    <xf numFmtId="0" fontId="11" fillId="11" borderId="1" xfId="0" applyFont="1" applyFill="1" applyBorder="1" applyAlignment="1">
      <alignment horizontal="center" vertical="center"/>
    </xf>
    <xf numFmtId="9" fontId="11" fillId="5" borderId="1" xfId="1" applyFont="1" applyFill="1" applyBorder="1"/>
    <xf numFmtId="0" fontId="11" fillId="5" borderId="1" xfId="0" applyFont="1" applyFill="1" applyBorder="1" applyAlignment="1">
      <alignment horizontal="center" vertical="center"/>
    </xf>
    <xf numFmtId="9" fontId="11" fillId="5" borderId="1" xfId="1" applyFont="1" applyFill="1" applyBorder="1" applyAlignment="1">
      <alignment horizontal="center" vertical="center"/>
    </xf>
    <xf numFmtId="0" fontId="11" fillId="5" borderId="1" xfId="0" applyFont="1" applyFill="1" applyBorder="1" applyAlignment="1">
      <alignment horizontal="center"/>
    </xf>
    <xf numFmtId="9" fontId="11" fillId="5" borderId="1" xfId="1" applyFont="1" applyFill="1" applyBorder="1" applyAlignment="1">
      <alignment horizontal="center"/>
    </xf>
    <xf numFmtId="164" fontId="11" fillId="5" borderId="1" xfId="1" applyNumberFormat="1" applyFont="1" applyFill="1" applyBorder="1" applyAlignment="1">
      <alignment horizontal="center" vertical="center"/>
    </xf>
    <xf numFmtId="0" fontId="11" fillId="11" borderId="1" xfId="0" applyFont="1" applyFill="1" applyBorder="1" applyAlignment="1">
      <alignment horizontal="center"/>
    </xf>
    <xf numFmtId="0" fontId="11" fillId="13" borderId="1" xfId="0" applyFont="1" applyFill="1" applyBorder="1" applyAlignment="1">
      <alignment horizontal="center"/>
    </xf>
    <xf numFmtId="0" fontId="11" fillId="13" borderId="1" xfId="0" applyFont="1" applyFill="1" applyBorder="1" applyAlignment="1">
      <alignment horizontal="center" vertical="center"/>
    </xf>
    <xf numFmtId="0" fontId="1" fillId="5" borderId="1" xfId="0" applyFont="1" applyFill="1" applyBorder="1" applyAlignment="1">
      <alignment horizontal="center"/>
    </xf>
    <xf numFmtId="0" fontId="0" fillId="0" borderId="0" xfId="0" pivotButton="1"/>
    <xf numFmtId="0" fontId="0" fillId="0" borderId="0" xfId="0" applyAlignment="1">
      <alignment horizontal="left"/>
    </xf>
    <xf numFmtId="0" fontId="11" fillId="11" borderId="6" xfId="0" applyFont="1" applyFill="1" applyBorder="1" applyAlignment="1">
      <alignment horizontal="center" vertical="center"/>
    </xf>
    <xf numFmtId="9" fontId="11" fillId="5" borderId="6" xfId="1" applyFont="1" applyFill="1" applyBorder="1" applyAlignment="1">
      <alignment horizontal="center"/>
    </xf>
    <xf numFmtId="164" fontId="0" fillId="0" borderId="0" xfId="0" applyNumberFormat="1" applyAlignment="1">
      <alignment horizontal="center" vertical="center"/>
    </xf>
    <xf numFmtId="0" fontId="10" fillId="12"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164" fontId="1" fillId="5" borderId="1" xfId="0" applyNumberFormat="1" applyFont="1" applyFill="1" applyBorder="1" applyAlignment="1">
      <alignment horizontal="center"/>
    </xf>
    <xf numFmtId="164" fontId="0" fillId="8" borderId="0" xfId="0" applyNumberFormat="1" applyFill="1" applyAlignment="1">
      <alignment horizontal="center" vertical="center"/>
    </xf>
    <xf numFmtId="0" fontId="11" fillId="11" borderId="0" xfId="0" applyFont="1" applyFill="1" applyAlignment="1">
      <alignment horizontal="center" vertical="center"/>
    </xf>
    <xf numFmtId="9" fontId="11" fillId="5" borderId="0" xfId="1" applyFont="1" applyFill="1" applyBorder="1" applyAlignment="1">
      <alignment horizontal="center" vertical="center"/>
    </xf>
    <xf numFmtId="0" fontId="11" fillId="11" borderId="8" xfId="0" applyFont="1" applyFill="1" applyBorder="1" applyAlignment="1">
      <alignment horizontal="center" vertical="center"/>
    </xf>
    <xf numFmtId="0" fontId="7" fillId="12" borderId="7" xfId="0" applyFont="1" applyFill="1" applyBorder="1" applyAlignment="1">
      <alignment horizontal="left"/>
    </xf>
    <xf numFmtId="0" fontId="9" fillId="5" borderId="3" xfId="0" applyFont="1" applyFill="1" applyBorder="1" applyAlignment="1">
      <alignment horizontal="left" vertical="top"/>
    </xf>
    <xf numFmtId="0" fontId="11" fillId="10" borderId="1" xfId="0" applyFont="1" applyFill="1" applyBorder="1" applyAlignment="1">
      <alignment horizontal="center" vertical="center"/>
    </xf>
    <xf numFmtId="0" fontId="8" fillId="14" borderId="0" xfId="0" applyFont="1" applyFill="1" applyAlignment="1">
      <alignment horizontal="center" vertical="center"/>
    </xf>
    <xf numFmtId="0" fontId="9" fillId="16" borderId="11" xfId="0" applyFont="1" applyFill="1" applyBorder="1" applyAlignment="1">
      <alignment horizontal="center" vertical="center"/>
    </xf>
    <xf numFmtId="0" fontId="9" fillId="16" borderId="10" xfId="0" applyFont="1" applyFill="1" applyBorder="1" applyAlignment="1">
      <alignment horizontal="center" vertical="center"/>
    </xf>
    <xf numFmtId="0" fontId="9" fillId="16" borderId="12" xfId="0" applyFont="1" applyFill="1" applyBorder="1" applyAlignment="1">
      <alignment horizontal="center" vertical="center"/>
    </xf>
    <xf numFmtId="0" fontId="9" fillId="16" borderId="13" xfId="0" applyFont="1" applyFill="1" applyBorder="1" applyAlignment="1">
      <alignment horizontal="center" vertical="center"/>
    </xf>
    <xf numFmtId="0" fontId="9" fillId="16" borderId="9" xfId="0" applyFont="1" applyFill="1" applyBorder="1" applyAlignment="1">
      <alignment horizontal="center" vertical="center"/>
    </xf>
    <xf numFmtId="0" fontId="9" fillId="16" borderId="14" xfId="0" applyFont="1" applyFill="1" applyBorder="1" applyAlignment="1">
      <alignment horizontal="center" vertical="center"/>
    </xf>
    <xf numFmtId="0" fontId="18" fillId="13" borderId="11" xfId="2" applyFont="1" applyFill="1" applyBorder="1" applyAlignment="1">
      <alignment horizontal="center" vertical="center"/>
    </xf>
    <xf numFmtId="0" fontId="18" fillId="13" borderId="10" xfId="2" applyFont="1" applyFill="1" applyBorder="1" applyAlignment="1">
      <alignment horizontal="center" vertical="center"/>
    </xf>
    <xf numFmtId="0" fontId="18" fillId="13" borderId="12" xfId="2" applyFont="1" applyFill="1" applyBorder="1" applyAlignment="1">
      <alignment horizontal="center" vertical="center"/>
    </xf>
    <xf numFmtId="0" fontId="18" fillId="13" borderId="13" xfId="2" applyFont="1" applyFill="1" applyBorder="1" applyAlignment="1">
      <alignment horizontal="center" vertical="center"/>
    </xf>
    <xf numFmtId="0" fontId="18" fillId="13" borderId="9" xfId="2" applyFont="1" applyFill="1" applyBorder="1" applyAlignment="1">
      <alignment horizontal="center" vertical="center"/>
    </xf>
    <xf numFmtId="0" fontId="18" fillId="13" borderId="14" xfId="2" applyFont="1" applyFill="1" applyBorder="1" applyAlignment="1">
      <alignment horizontal="center" vertical="center"/>
    </xf>
    <xf numFmtId="0" fontId="7" fillId="8" borderId="2" xfId="0" applyFont="1" applyFill="1" applyBorder="1" applyAlignment="1">
      <alignment horizontal="center" vertical="center"/>
    </xf>
    <xf numFmtId="0" fontId="7" fillId="8" borderId="4" xfId="0" applyFont="1" applyFill="1" applyBorder="1" applyAlignment="1">
      <alignment horizontal="center" vertical="center"/>
    </xf>
    <xf numFmtId="0" fontId="7" fillId="8" borderId="5" xfId="0" applyFont="1" applyFill="1" applyBorder="1" applyAlignment="1">
      <alignment horizontal="center" vertical="center"/>
    </xf>
    <xf numFmtId="0" fontId="7" fillId="10" borderId="1" xfId="0" applyFont="1" applyFill="1" applyBorder="1" applyAlignment="1">
      <alignment horizontal="center" vertical="center"/>
    </xf>
    <xf numFmtId="0" fontId="19" fillId="7" borderId="7" xfId="2" applyFont="1" applyFill="1" applyBorder="1" applyAlignment="1">
      <alignment horizontal="center" vertical="center" wrapText="1"/>
    </xf>
    <xf numFmtId="0" fontId="19" fillId="7" borderId="7" xfId="2" applyFont="1" applyFill="1" applyBorder="1" applyAlignment="1">
      <alignment horizontal="center" vertical="center"/>
    </xf>
    <xf numFmtId="0" fontId="9" fillId="16" borderId="7" xfId="0" applyFont="1" applyFill="1" applyBorder="1" applyAlignment="1">
      <alignment horizontal="center" vertical="center"/>
    </xf>
    <xf numFmtId="0" fontId="18" fillId="7" borderId="7" xfId="2" applyFont="1" applyFill="1" applyBorder="1" applyAlignment="1">
      <alignment horizontal="center" vertical="center"/>
    </xf>
    <xf numFmtId="0" fontId="20" fillId="7" borderId="0" xfId="2" applyFont="1" applyFill="1" applyAlignment="1">
      <alignment horizontal="center" vertical="center"/>
    </xf>
    <xf numFmtId="0" fontId="21" fillId="11" borderId="7" xfId="0" applyFont="1" applyFill="1" applyBorder="1" applyAlignment="1">
      <alignment horizontal="left" vertical="top" wrapText="1"/>
    </xf>
    <xf numFmtId="0" fontId="0" fillId="11" borderId="7" xfId="0" applyFill="1" applyBorder="1" applyAlignment="1">
      <alignment horizontal="left" vertical="top"/>
    </xf>
    <xf numFmtId="0" fontId="9" fillId="9" borderId="0" xfId="0" applyFont="1" applyFill="1" applyAlignment="1">
      <alignment horizontal="center" vertical="center"/>
    </xf>
    <xf numFmtId="0" fontId="18" fillId="15" borderId="0" xfId="2" applyFont="1" applyFill="1" applyAlignment="1">
      <alignment horizontal="center" vertical="center"/>
    </xf>
    <xf numFmtId="0" fontId="17" fillId="16" borderId="7" xfId="0" applyFont="1" applyFill="1" applyBorder="1" applyAlignment="1">
      <alignment horizontal="center" vertical="center"/>
    </xf>
    <xf numFmtId="0" fontId="18" fillId="13" borderId="7" xfId="2" applyFont="1" applyFill="1" applyBorder="1" applyAlignment="1">
      <alignment horizontal="center" vertical="center"/>
    </xf>
    <xf numFmtId="0" fontId="17" fillId="16" borderId="11" xfId="0" applyFont="1" applyFill="1" applyBorder="1" applyAlignment="1">
      <alignment horizontal="center" vertical="center"/>
    </xf>
    <xf numFmtId="0" fontId="17" fillId="16" borderId="10" xfId="0" applyFont="1" applyFill="1" applyBorder="1" applyAlignment="1">
      <alignment horizontal="center" vertical="center"/>
    </xf>
    <xf numFmtId="0" fontId="17" fillId="16" borderId="12" xfId="0" applyFont="1" applyFill="1" applyBorder="1" applyAlignment="1">
      <alignment horizontal="center" vertical="center"/>
    </xf>
    <xf numFmtId="0" fontId="17" fillId="16" borderId="13" xfId="0" applyFont="1" applyFill="1" applyBorder="1" applyAlignment="1">
      <alignment horizontal="center" vertical="center"/>
    </xf>
    <xf numFmtId="0" fontId="17" fillId="16" borderId="9" xfId="0" applyFont="1" applyFill="1" applyBorder="1" applyAlignment="1">
      <alignment horizontal="center" vertical="center"/>
    </xf>
    <xf numFmtId="0" fontId="17" fillId="16" borderId="14" xfId="0" applyFont="1" applyFill="1" applyBorder="1" applyAlignment="1">
      <alignment horizontal="center" vertical="center"/>
    </xf>
    <xf numFmtId="0" fontId="16" fillId="13" borderId="11" xfId="2" applyFill="1" applyBorder="1" applyAlignment="1">
      <alignment horizontal="center" vertical="center"/>
    </xf>
    <xf numFmtId="0" fontId="16" fillId="13" borderId="10" xfId="2" applyFill="1" applyBorder="1" applyAlignment="1">
      <alignment horizontal="center" vertical="center"/>
    </xf>
    <xf numFmtId="0" fontId="16" fillId="13" borderId="12" xfId="2" applyFill="1" applyBorder="1" applyAlignment="1">
      <alignment horizontal="center" vertical="center"/>
    </xf>
    <xf numFmtId="0" fontId="16" fillId="13" borderId="13" xfId="2" applyFill="1" applyBorder="1" applyAlignment="1">
      <alignment horizontal="center" vertical="center"/>
    </xf>
    <xf numFmtId="0" fontId="16" fillId="13" borderId="9" xfId="2" applyFill="1" applyBorder="1" applyAlignment="1">
      <alignment horizontal="center" vertical="center"/>
    </xf>
    <xf numFmtId="0" fontId="16" fillId="13" borderId="14" xfId="2" applyFill="1" applyBorder="1" applyAlignment="1">
      <alignment horizontal="center" vertical="center"/>
    </xf>
    <xf numFmtId="164" fontId="0" fillId="0" borderId="0" xfId="0" applyNumberFormat="1" applyAlignment="1">
      <alignment horizontal="left"/>
    </xf>
    <xf numFmtId="164" fontId="0" fillId="0" borderId="0" xfId="0" applyNumberFormat="1"/>
  </cellXfs>
  <cellStyles count="3">
    <cellStyle name="Hyperlink" xfId="2" builtinId="8"/>
    <cellStyle name="Normal" xfId="0" builtinId="0"/>
    <cellStyle name="Percent" xfId="1" builtinId="5"/>
  </cellStyles>
  <dxfs count="58">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u val="none"/>
        <color theme="5"/>
      </font>
    </dxf>
    <dxf>
      <font>
        <color rgb="FF006100"/>
      </font>
      <fill>
        <patternFill>
          <bgColor rgb="FFC6EFCE"/>
        </patternFill>
      </fill>
    </dxf>
    <dxf>
      <font>
        <color theme="4"/>
      </font>
    </dxf>
    <dxf>
      <font>
        <color rgb="FF9C5700"/>
      </font>
      <fill>
        <patternFill>
          <bgColor rgb="FFFFEB9C"/>
        </patternFill>
      </fill>
    </dxf>
    <dxf>
      <font>
        <color rgb="FF9C0006"/>
      </font>
      <fill>
        <patternFill>
          <bgColor rgb="FFFFC7CE"/>
        </patternFill>
      </fill>
    </dxf>
    <dxf>
      <font>
        <color theme="1"/>
      </font>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00B0F0"/>
        </patternFill>
      </fill>
    </dxf>
    <dxf>
      <font>
        <color rgb="FF9C5700"/>
      </font>
      <fill>
        <patternFill>
          <bgColor rgb="FFFFEB9C"/>
        </patternFill>
      </fill>
    </dxf>
    <dxf>
      <fill>
        <patternFill>
          <bgColor rgb="FFFFC000"/>
        </patternFill>
      </fill>
    </dxf>
    <dxf>
      <font>
        <color rgb="FFFFC000"/>
      </font>
    </dxf>
    <dxf>
      <numFmt numFmtId="164" formatCode="0;[Red]0"/>
    </dxf>
    <dxf>
      <numFmt numFmtId="164" formatCode="0;[Red]0"/>
    </dxf>
    <dxf>
      <alignment vertical="center"/>
    </dxf>
    <dxf>
      <alignment horizontal="center"/>
    </dxf>
    <dxf>
      <fill>
        <patternFill patternType="solid">
          <bgColor rgb="FFFF0000"/>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rgb="FF000000"/>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rgb="FF000000"/>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FFFF0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[Excel-Result-Tracker.xlsx]Marks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'Marks analysis'!$C$2</c:f>
              <c:strCache>
                <c:ptCount val="1"/>
                <c:pt idx="0">
                  <c:v>Total</c:v>
                </c:pt>
              </c:strCache>
            </c:strRef>
          </c:tx>
          <c:spPr>
            <a:solidFill>
              <a:schemeClr val="accent1"/>
            </a:solidFill>
            <a:ln>
              <a:noFill/>
            </a:ln>
            <a:effectLst/>
          </c:spPr>
          <c:invertIfNegative val="0"/>
          <c:cat>
            <c:strRef>
              <c:f>'Marks analysis'!$B$3:$B$32</c:f>
              <c:strCache>
                <c:ptCount val="29"/>
                <c:pt idx="0">
                  <c:v>Abid</c:v>
                </c:pt>
                <c:pt idx="1">
                  <c:v>Afaq</c:v>
                </c:pt>
                <c:pt idx="2">
                  <c:v>Ahmad</c:v>
                </c:pt>
                <c:pt idx="3">
                  <c:v>Alfan</c:v>
                </c:pt>
                <c:pt idx="4">
                  <c:v>Amir Nazir</c:v>
                </c:pt>
                <c:pt idx="5">
                  <c:v>Asad Ullah</c:v>
                </c:pt>
                <c:pt idx="6">
                  <c:v>Bihzad </c:v>
                </c:pt>
                <c:pt idx="7">
                  <c:v>Dilshan</c:v>
                </c:pt>
                <c:pt idx="8">
                  <c:v>Fawad</c:v>
                </c:pt>
                <c:pt idx="9">
                  <c:v>Hamayon</c:v>
                </c:pt>
                <c:pt idx="10">
                  <c:v>Hamza</c:v>
                </c:pt>
                <c:pt idx="11">
                  <c:v>Hesham</c:v>
                </c:pt>
                <c:pt idx="12">
                  <c:v>Misbah</c:v>
                </c:pt>
                <c:pt idx="13">
                  <c:v>Mosawer</c:v>
                </c:pt>
                <c:pt idx="14">
                  <c:v>Nasir </c:v>
                </c:pt>
                <c:pt idx="15">
                  <c:v>Qasim</c:v>
                </c:pt>
                <c:pt idx="16">
                  <c:v>Rashid Ullah</c:v>
                </c:pt>
                <c:pt idx="17">
                  <c:v>Sahil</c:v>
                </c:pt>
                <c:pt idx="18">
                  <c:v>Salim</c:v>
                </c:pt>
                <c:pt idx="19">
                  <c:v>Salman</c:v>
                </c:pt>
                <c:pt idx="20">
                  <c:v>Senan</c:v>
                </c:pt>
                <c:pt idx="21">
                  <c:v>Seyab</c:v>
                </c:pt>
                <c:pt idx="22">
                  <c:v>Sudais</c:v>
                </c:pt>
                <c:pt idx="23">
                  <c:v>Talal</c:v>
                </c:pt>
                <c:pt idx="24">
                  <c:v>Talha</c:v>
                </c:pt>
                <c:pt idx="25">
                  <c:v>Touseef</c:v>
                </c:pt>
                <c:pt idx="26">
                  <c:v>Waqas</c:v>
                </c:pt>
                <c:pt idx="27">
                  <c:v>(blank)</c:v>
                </c:pt>
                <c:pt idx="28">
                  <c:v>Adnan</c:v>
                </c:pt>
              </c:strCache>
            </c:strRef>
          </c:cat>
          <c:val>
            <c:numRef>
              <c:f>'Marks analysis'!$C$3:$C$32</c:f>
              <c:numCache>
                <c:formatCode>General</c:formatCode>
                <c:ptCount val="29"/>
                <c:pt idx="0">
                  <c:v>680</c:v>
                </c:pt>
                <c:pt idx="1">
                  <c:v>470</c:v>
                </c:pt>
                <c:pt idx="2">
                  <c:v>455</c:v>
                </c:pt>
                <c:pt idx="3">
                  <c:v>331</c:v>
                </c:pt>
                <c:pt idx="4">
                  <c:v>722</c:v>
                </c:pt>
                <c:pt idx="5">
                  <c:v>483</c:v>
                </c:pt>
                <c:pt idx="6">
                  <c:v>296</c:v>
                </c:pt>
                <c:pt idx="7">
                  <c:v>311</c:v>
                </c:pt>
                <c:pt idx="8">
                  <c:v>455</c:v>
                </c:pt>
                <c:pt idx="9">
                  <c:v>469</c:v>
                </c:pt>
                <c:pt idx="10">
                  <c:v>370</c:v>
                </c:pt>
                <c:pt idx="11">
                  <c:v>459</c:v>
                </c:pt>
                <c:pt idx="12">
                  <c:v>388</c:v>
                </c:pt>
                <c:pt idx="13">
                  <c:v>292</c:v>
                </c:pt>
                <c:pt idx="14">
                  <c:v>455</c:v>
                </c:pt>
                <c:pt idx="15">
                  <c:v>284</c:v>
                </c:pt>
                <c:pt idx="16">
                  <c:v>399</c:v>
                </c:pt>
                <c:pt idx="17">
                  <c:v>388</c:v>
                </c:pt>
                <c:pt idx="18">
                  <c:v>483</c:v>
                </c:pt>
                <c:pt idx="19">
                  <c:v>389</c:v>
                </c:pt>
                <c:pt idx="20">
                  <c:v>455</c:v>
                </c:pt>
                <c:pt idx="21">
                  <c:v>291</c:v>
                </c:pt>
                <c:pt idx="22">
                  <c:v>359</c:v>
                </c:pt>
                <c:pt idx="23">
                  <c:v>319</c:v>
                </c:pt>
                <c:pt idx="24">
                  <c:v>288</c:v>
                </c:pt>
                <c:pt idx="25">
                  <c:v>693</c:v>
                </c:pt>
                <c:pt idx="26">
                  <c:v>593</c:v>
                </c:pt>
                <c:pt idx="28">
                  <c:v>553</c:v>
                </c:pt>
              </c:numCache>
            </c:numRef>
          </c:val>
          <c:extLst>
            <c:ext xmlns:c16="http://schemas.microsoft.com/office/drawing/2014/chart" uri="{C3380CC4-5D6E-409C-BE32-E72D297353CC}">
              <c16:uniqueId val="{00000002-D138-4C88-AF16-98EB8321BC4C}"/>
            </c:ext>
          </c:extLst>
        </c:ser>
        <c:dLbls>
          <c:showLegendKey val="0"/>
          <c:showVal val="0"/>
          <c:showCatName val="0"/>
          <c:showSerName val="0"/>
          <c:showPercent val="0"/>
          <c:showBubbleSize val="0"/>
        </c:dLbls>
        <c:gapWidth val="150"/>
        <c:overlap val="100"/>
        <c:axId val="1183086927"/>
        <c:axId val="1183078287"/>
      </c:barChart>
      <c:catAx>
        <c:axId val="118308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078287"/>
        <c:crosses val="autoZero"/>
        <c:auto val="1"/>
        <c:lblAlgn val="ctr"/>
        <c:lblOffset val="100"/>
        <c:noMultiLvlLbl val="0"/>
      </c:catAx>
      <c:valAx>
        <c:axId val="1183078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08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[Excel-Result-Tracker.xlsx]Grade Distribution !PivotTable2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'Grade Distribution '!$B$3</c:f>
              <c:strCache>
                <c:ptCount val="1"/>
                <c:pt idx="0">
                  <c:v>Sum of A</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B65-4132-AF14-DA7DD08F82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B65-4132-AF14-DA7DD08F82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'Grade Distribution '!$A$4:$A$6</c:f>
              <c:strCache>
                <c:ptCount val="2"/>
                <c:pt idx="0">
                  <c:v>%</c:v>
                </c:pt>
                <c:pt idx="1">
                  <c:v>Grade Count</c:v>
                </c:pt>
              </c:strCache>
            </c:strRef>
          </c:cat>
          <c:val>
            <c:numRef>
              <c:f>'Grade Distribution '!$B$4:$B$6</c:f>
              <c:numCache>
                <c:formatCode>General</c:formatCode>
                <c:ptCount val="2"/>
                <c:pt idx="0">
                  <c:v>0.10714285714285714</c:v>
                </c:pt>
                <c:pt idx="1">
                  <c:v>3</c:v>
                </c:pt>
              </c:numCache>
            </c:numRef>
          </c:val>
          <c:extLst>
            <c:ext xmlns:c16="http://schemas.microsoft.com/office/drawing/2014/chart" uri="{C3380CC4-5D6E-409C-BE32-E72D297353CC}">
              <c16:uniqueId val="{00000000-1347-4319-80A0-7A184E49A06A}"/>
            </c:ext>
          </c:extLst>
        </c:ser>
        <c:ser>
          <c:idx val="1"/>
          <c:order val="1"/>
          <c:tx>
            <c:strRef>
              <c:f>'Grade Distribution '!$C$3</c:f>
              <c:strCache>
                <c:ptCount val="1"/>
                <c:pt idx="0">
                  <c:v>Sum of B</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B65-4132-AF14-DA7DD08F82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B65-4132-AF14-DA7DD08F82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'Grade Distribution '!$A$4:$A$6</c:f>
              <c:strCache>
                <c:ptCount val="2"/>
                <c:pt idx="0">
                  <c:v>%</c:v>
                </c:pt>
                <c:pt idx="1">
                  <c:v>Grade Count</c:v>
                </c:pt>
              </c:strCache>
            </c:strRef>
          </c:cat>
          <c:val>
            <c:numRef>
              <c:f>'Grade Distribution '!$C$4:$C$6</c:f>
              <c:numCache>
                <c:formatCode>General</c:formatCode>
                <c:ptCount val="2"/>
                <c:pt idx="0">
                  <c:v>0</c:v>
                </c:pt>
                <c:pt idx="1">
                  <c:v>0</c:v>
                </c:pt>
              </c:numCache>
            </c:numRef>
          </c:val>
          <c:extLst>
            <c:ext xmlns:c16="http://schemas.microsoft.com/office/drawing/2014/chart" uri="{C3380CC4-5D6E-409C-BE32-E72D297353CC}">
              <c16:uniqueId val="{00000001-1347-4319-80A0-7A184E49A06A}"/>
            </c:ext>
          </c:extLst>
        </c:ser>
        <c:ser>
          <c:idx val="2"/>
          <c:order val="2"/>
          <c:tx>
            <c:strRef>
              <c:f>'Grade Distribution '!$D$3</c:f>
              <c:strCache>
                <c:ptCount val="1"/>
                <c:pt idx="0">
                  <c:v>Sum of 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B65-4132-AF14-DA7DD08F82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B65-4132-AF14-DA7DD08F82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'Grade Distribution '!$A$4:$A$6</c:f>
              <c:strCache>
                <c:ptCount val="2"/>
                <c:pt idx="0">
                  <c:v>%</c:v>
                </c:pt>
                <c:pt idx="1">
                  <c:v>Grade Count</c:v>
                </c:pt>
              </c:strCache>
            </c:strRef>
          </c:cat>
          <c:val>
            <c:numRef>
              <c:f>'Grade Distribution '!$D$4:$D$6</c:f>
              <c:numCache>
                <c:formatCode>General</c:formatCode>
                <c:ptCount val="2"/>
                <c:pt idx="0">
                  <c:v>7.1428571428571425E-2</c:v>
                </c:pt>
                <c:pt idx="1">
                  <c:v>2</c:v>
                </c:pt>
              </c:numCache>
            </c:numRef>
          </c:val>
          <c:extLst>
            <c:ext xmlns:c16="http://schemas.microsoft.com/office/drawing/2014/chart" uri="{C3380CC4-5D6E-409C-BE32-E72D297353CC}">
              <c16:uniqueId val="{00000002-1347-4319-80A0-7A184E49A06A}"/>
            </c:ext>
          </c:extLst>
        </c:ser>
        <c:ser>
          <c:idx val="3"/>
          <c:order val="3"/>
          <c:tx>
            <c:strRef>
              <c:f>'Grade Distribution '!$E$3</c:f>
              <c:strCache>
                <c:ptCount val="1"/>
                <c:pt idx="0">
                  <c:v>Sum of 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B65-4132-AF14-DA7DD08F82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B65-4132-AF14-DA7DD08F82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'Grade Distribution '!$A$4:$A$6</c:f>
              <c:strCache>
                <c:ptCount val="2"/>
                <c:pt idx="0">
                  <c:v>%</c:v>
                </c:pt>
                <c:pt idx="1">
                  <c:v>Grade Count</c:v>
                </c:pt>
              </c:strCache>
            </c:strRef>
          </c:cat>
          <c:val>
            <c:numRef>
              <c:f>'Grade Distribution '!$E$4:$E$6</c:f>
              <c:numCache>
                <c:formatCode>General</c:formatCode>
                <c:ptCount val="2"/>
                <c:pt idx="0">
                  <c:v>0.32142857142857145</c:v>
                </c:pt>
                <c:pt idx="1">
                  <c:v>9</c:v>
                </c:pt>
              </c:numCache>
            </c:numRef>
          </c:val>
          <c:extLst>
            <c:ext xmlns:c16="http://schemas.microsoft.com/office/drawing/2014/chart" uri="{C3380CC4-5D6E-409C-BE32-E72D297353CC}">
              <c16:uniqueId val="{00000003-1347-4319-80A0-7A184E49A06A}"/>
            </c:ext>
          </c:extLst>
        </c:ser>
        <c:ser>
          <c:idx val="4"/>
          <c:order val="4"/>
          <c:tx>
            <c:strRef>
              <c:f>'Grade Distribution '!$F$3</c:f>
              <c:strCache>
                <c:ptCount val="1"/>
                <c:pt idx="0">
                  <c:v>Sum of F</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B65-4132-AF14-DA7DD08F82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B65-4132-AF14-DA7DD08F82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'Grade Distribution '!$A$4:$A$6</c:f>
              <c:strCache>
                <c:ptCount val="2"/>
                <c:pt idx="0">
                  <c:v>%</c:v>
                </c:pt>
                <c:pt idx="1">
                  <c:v>Grade Count</c:v>
                </c:pt>
              </c:strCache>
            </c:strRef>
          </c:cat>
          <c:val>
            <c:numRef>
              <c:f>'Grade Distribution '!$F$4:$F$6</c:f>
              <c:numCache>
                <c:formatCode>General</c:formatCode>
                <c:ptCount val="2"/>
                <c:pt idx="0">
                  <c:v>0.5</c:v>
                </c:pt>
                <c:pt idx="1">
                  <c:v>14</c:v>
                </c:pt>
              </c:numCache>
            </c:numRef>
          </c:val>
          <c:extLst>
            <c:ext xmlns:c16="http://schemas.microsoft.com/office/drawing/2014/chart" uri="{C3380CC4-5D6E-409C-BE32-E72D297353CC}">
              <c16:uniqueId val="{00000004-1347-4319-80A0-7A184E49A06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[Excel-Result-Tracker.xlsx]Subject Average!PivotTable3</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59142607174101E-2"/>
          <c:y val="0.16564596092155148"/>
          <c:w val="0.62294116360454943"/>
          <c:h val="0.75010279965004378"/>
        </c:manualLayout>
      </c:layout>
      <c:barChart>
        <c:barDir val="bar"/>
        <c:grouping val="clustered"/>
        <c:varyColors val="0"/>
        <c:ser>
          <c:idx val="0"/>
          <c:order val="0"/>
          <c:tx>
            <c:strRef>
              <c:f>'Subject Average'!$A$3</c:f>
              <c:strCache>
                <c:ptCount val="1"/>
                <c:pt idx="0">
                  <c:v>Sum of English</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Average'!$A$4</c:f>
              <c:numCache>
                <c:formatCode>0;[Red]0</c:formatCode>
                <c:ptCount val="1"/>
                <c:pt idx="0">
                  <c:v>44.892857142857146</c:v>
                </c:pt>
              </c:numCache>
            </c:numRef>
          </c:val>
          <c:extLst>
            <c:ext xmlns:c16="http://schemas.microsoft.com/office/drawing/2014/chart" uri="{C3380CC4-5D6E-409C-BE32-E72D297353CC}">
              <c16:uniqueId val="{00000000-63A3-4A36-88A8-6EE8763631B3}"/>
            </c:ext>
          </c:extLst>
        </c:ser>
        <c:ser>
          <c:idx val="1"/>
          <c:order val="1"/>
          <c:tx>
            <c:strRef>
              <c:f>'Subject Average'!$B$3</c:f>
              <c:strCache>
                <c:ptCount val="1"/>
                <c:pt idx="0">
                  <c:v>Sum of Urdu</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Average'!$B$4</c:f>
              <c:numCache>
                <c:formatCode>0;[Red]0</c:formatCode>
                <c:ptCount val="1"/>
                <c:pt idx="0">
                  <c:v>42.74074074074074</c:v>
                </c:pt>
              </c:numCache>
            </c:numRef>
          </c:val>
          <c:extLst>
            <c:ext xmlns:c16="http://schemas.microsoft.com/office/drawing/2014/chart" uri="{C3380CC4-5D6E-409C-BE32-E72D297353CC}">
              <c16:uniqueId val="{00000001-63A3-4A36-88A8-6EE8763631B3}"/>
            </c:ext>
          </c:extLst>
        </c:ser>
        <c:ser>
          <c:idx val="2"/>
          <c:order val="2"/>
          <c:tx>
            <c:strRef>
              <c:f>'Subject Average'!$C$3</c:f>
              <c:strCache>
                <c:ptCount val="1"/>
                <c:pt idx="0">
                  <c:v>Sum of Maths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Average'!$C$4</c:f>
              <c:numCache>
                <c:formatCode>0;[Red]0</c:formatCode>
                <c:ptCount val="1"/>
                <c:pt idx="0">
                  <c:v>72.428571428571431</c:v>
                </c:pt>
              </c:numCache>
            </c:numRef>
          </c:val>
          <c:extLst>
            <c:ext xmlns:c16="http://schemas.microsoft.com/office/drawing/2014/chart" uri="{C3380CC4-5D6E-409C-BE32-E72D297353CC}">
              <c16:uniqueId val="{00000002-63A3-4A36-88A8-6EE8763631B3}"/>
            </c:ext>
          </c:extLst>
        </c:ser>
        <c:ser>
          <c:idx val="3"/>
          <c:order val="3"/>
          <c:tx>
            <c:strRef>
              <c:f>'Subject Average'!$D$3</c:f>
              <c:strCache>
                <c:ptCount val="1"/>
                <c:pt idx="0">
                  <c:v>Sum of Science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Average'!$D$4</c:f>
              <c:numCache>
                <c:formatCode>0;[Red]0</c:formatCode>
                <c:ptCount val="1"/>
                <c:pt idx="0">
                  <c:v>68.25</c:v>
                </c:pt>
              </c:numCache>
            </c:numRef>
          </c:val>
          <c:extLst>
            <c:ext xmlns:c16="http://schemas.microsoft.com/office/drawing/2014/chart" uri="{C3380CC4-5D6E-409C-BE32-E72D297353CC}">
              <c16:uniqueId val="{00000003-63A3-4A36-88A8-6EE8763631B3}"/>
            </c:ext>
          </c:extLst>
        </c:ser>
        <c:ser>
          <c:idx val="4"/>
          <c:order val="4"/>
          <c:tx>
            <c:strRef>
              <c:f>'Subject Average'!$E$3</c:f>
              <c:strCache>
                <c:ptCount val="1"/>
                <c:pt idx="0">
                  <c:v>Sum of Islamyat</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Average'!$E$4</c:f>
              <c:numCache>
                <c:formatCode>0;[Red]0</c:formatCode>
                <c:ptCount val="1"/>
                <c:pt idx="0">
                  <c:v>43.92</c:v>
                </c:pt>
              </c:numCache>
            </c:numRef>
          </c:val>
          <c:extLst>
            <c:ext xmlns:c16="http://schemas.microsoft.com/office/drawing/2014/chart" uri="{C3380CC4-5D6E-409C-BE32-E72D297353CC}">
              <c16:uniqueId val="{00000004-63A3-4A36-88A8-6EE8763631B3}"/>
            </c:ext>
          </c:extLst>
        </c:ser>
        <c:ser>
          <c:idx val="5"/>
          <c:order val="5"/>
          <c:tx>
            <c:strRef>
              <c:f>'Subject Average'!$F$3</c:f>
              <c:strCache>
                <c:ptCount val="1"/>
                <c:pt idx="0">
                  <c:v>Sum of Eng Test</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Average'!$F$4</c:f>
              <c:numCache>
                <c:formatCode>0;[Red]0</c:formatCode>
                <c:ptCount val="1"/>
                <c:pt idx="0">
                  <c:v>67.357142857142861</c:v>
                </c:pt>
              </c:numCache>
            </c:numRef>
          </c:val>
          <c:extLst>
            <c:ext xmlns:c16="http://schemas.microsoft.com/office/drawing/2014/chart" uri="{C3380CC4-5D6E-409C-BE32-E72D297353CC}">
              <c16:uniqueId val="{00000005-63A3-4A36-88A8-6EE8763631B3}"/>
            </c:ext>
          </c:extLst>
        </c:ser>
        <c:ser>
          <c:idx val="6"/>
          <c:order val="6"/>
          <c:tx>
            <c:strRef>
              <c:f>'Subject Average'!$G$3</c:f>
              <c:strCache>
                <c:ptCount val="1"/>
                <c:pt idx="0">
                  <c:v>Sum of Urdu Test</c:v>
                </c:pt>
              </c:strCache>
            </c:strRef>
          </c:tx>
          <c:spPr>
            <a:solidFill>
              <a:schemeClr val="accent1">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Average'!$G$4</c:f>
              <c:numCache>
                <c:formatCode>0;[Red]0</c:formatCode>
                <c:ptCount val="1"/>
                <c:pt idx="0">
                  <c:v>52.444444444444443</c:v>
                </c:pt>
              </c:numCache>
            </c:numRef>
          </c:val>
          <c:extLst>
            <c:ext xmlns:c16="http://schemas.microsoft.com/office/drawing/2014/chart" uri="{C3380CC4-5D6E-409C-BE32-E72D297353CC}">
              <c16:uniqueId val="{00000006-63A3-4A36-88A8-6EE8763631B3}"/>
            </c:ext>
          </c:extLst>
        </c:ser>
        <c:ser>
          <c:idx val="7"/>
          <c:order val="7"/>
          <c:tx>
            <c:strRef>
              <c:f>'Subject Average'!$H$3</c:f>
              <c:strCache>
                <c:ptCount val="1"/>
                <c:pt idx="0">
                  <c:v>Sum of Nazira</c:v>
                </c:pt>
              </c:strCache>
            </c:strRef>
          </c:tx>
          <c:spPr>
            <a:solidFill>
              <a:schemeClr val="accent2">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Average'!$H$4</c:f>
              <c:numCache>
                <c:formatCode>0;[Red]0</c:formatCode>
                <c:ptCount val="1"/>
                <c:pt idx="0">
                  <c:v>49.285714285714285</c:v>
                </c:pt>
              </c:numCache>
            </c:numRef>
          </c:val>
          <c:extLst>
            <c:ext xmlns:c16="http://schemas.microsoft.com/office/drawing/2014/chart" uri="{C3380CC4-5D6E-409C-BE32-E72D297353CC}">
              <c16:uniqueId val="{00000007-63A3-4A36-88A8-6EE8763631B3}"/>
            </c:ext>
          </c:extLst>
        </c:ser>
        <c:dLbls>
          <c:dLblPos val="inEnd"/>
          <c:showLegendKey val="0"/>
          <c:showVal val="1"/>
          <c:showCatName val="0"/>
          <c:showSerName val="0"/>
          <c:showPercent val="0"/>
          <c:showBubbleSize val="0"/>
        </c:dLbls>
        <c:gapWidth val="65"/>
        <c:axId val="1465873855"/>
        <c:axId val="1465892575"/>
      </c:barChart>
      <c:catAx>
        <c:axId val="14658738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65892575"/>
        <c:crosses val="autoZero"/>
        <c:auto val="1"/>
        <c:lblAlgn val="ctr"/>
        <c:lblOffset val="100"/>
        <c:noMultiLvlLbl val="0"/>
      </c:catAx>
      <c:valAx>
        <c:axId val="14658925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658738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[Excel-Result-Tracker.xlsx]Marks analysis!PivotTable1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'Marks analysis'!$C$2</c:f>
              <c:strCache>
                <c:ptCount val="1"/>
                <c:pt idx="0">
                  <c:v>Total</c:v>
                </c:pt>
              </c:strCache>
            </c:strRef>
          </c:tx>
          <c:spPr>
            <a:solidFill>
              <a:schemeClr val="accent1"/>
            </a:solidFill>
            <a:ln>
              <a:noFill/>
            </a:ln>
            <a:effectLst/>
          </c:spPr>
          <c:invertIfNegative val="0"/>
          <c:cat>
            <c:strRef>
              <c:f>'Marks analysis'!$B$3:$B$32</c:f>
              <c:strCache>
                <c:ptCount val="29"/>
                <c:pt idx="0">
                  <c:v>Abid</c:v>
                </c:pt>
                <c:pt idx="1">
                  <c:v>Afaq</c:v>
                </c:pt>
                <c:pt idx="2">
                  <c:v>Ahmad</c:v>
                </c:pt>
                <c:pt idx="3">
                  <c:v>Alfan</c:v>
                </c:pt>
                <c:pt idx="4">
                  <c:v>Amir Nazir</c:v>
                </c:pt>
                <c:pt idx="5">
                  <c:v>Asad Ullah</c:v>
                </c:pt>
                <c:pt idx="6">
                  <c:v>Bihzad </c:v>
                </c:pt>
                <c:pt idx="7">
                  <c:v>Dilshan</c:v>
                </c:pt>
                <c:pt idx="8">
                  <c:v>Fawad</c:v>
                </c:pt>
                <c:pt idx="9">
                  <c:v>Hamayon</c:v>
                </c:pt>
                <c:pt idx="10">
                  <c:v>Hamza</c:v>
                </c:pt>
                <c:pt idx="11">
                  <c:v>Hesham</c:v>
                </c:pt>
                <c:pt idx="12">
                  <c:v>Misbah</c:v>
                </c:pt>
                <c:pt idx="13">
                  <c:v>Mosawer</c:v>
                </c:pt>
                <c:pt idx="14">
                  <c:v>Nasir </c:v>
                </c:pt>
                <c:pt idx="15">
                  <c:v>Qasim</c:v>
                </c:pt>
                <c:pt idx="16">
                  <c:v>Rashid Ullah</c:v>
                </c:pt>
                <c:pt idx="17">
                  <c:v>Sahil</c:v>
                </c:pt>
                <c:pt idx="18">
                  <c:v>Salim</c:v>
                </c:pt>
                <c:pt idx="19">
                  <c:v>Salman</c:v>
                </c:pt>
                <c:pt idx="20">
                  <c:v>Senan</c:v>
                </c:pt>
                <c:pt idx="21">
                  <c:v>Seyab</c:v>
                </c:pt>
                <c:pt idx="22">
                  <c:v>Sudais</c:v>
                </c:pt>
                <c:pt idx="23">
                  <c:v>Talal</c:v>
                </c:pt>
                <c:pt idx="24">
                  <c:v>Talha</c:v>
                </c:pt>
                <c:pt idx="25">
                  <c:v>Touseef</c:v>
                </c:pt>
                <c:pt idx="26">
                  <c:v>Waqas</c:v>
                </c:pt>
                <c:pt idx="27">
                  <c:v>(blank)</c:v>
                </c:pt>
                <c:pt idx="28">
                  <c:v>Adnan</c:v>
                </c:pt>
              </c:strCache>
            </c:strRef>
          </c:cat>
          <c:val>
            <c:numRef>
              <c:f>'Marks analysis'!$C$3:$C$32</c:f>
              <c:numCache>
                <c:formatCode>General</c:formatCode>
                <c:ptCount val="29"/>
                <c:pt idx="0">
                  <c:v>680</c:v>
                </c:pt>
                <c:pt idx="1">
                  <c:v>470</c:v>
                </c:pt>
                <c:pt idx="2">
                  <c:v>455</c:v>
                </c:pt>
                <c:pt idx="3">
                  <c:v>331</c:v>
                </c:pt>
                <c:pt idx="4">
                  <c:v>722</c:v>
                </c:pt>
                <c:pt idx="5">
                  <c:v>483</c:v>
                </c:pt>
                <c:pt idx="6">
                  <c:v>296</c:v>
                </c:pt>
                <c:pt idx="7">
                  <c:v>311</c:v>
                </c:pt>
                <c:pt idx="8">
                  <c:v>455</c:v>
                </c:pt>
                <c:pt idx="9">
                  <c:v>469</c:v>
                </c:pt>
                <c:pt idx="10">
                  <c:v>370</c:v>
                </c:pt>
                <c:pt idx="11">
                  <c:v>459</c:v>
                </c:pt>
                <c:pt idx="12">
                  <c:v>388</c:v>
                </c:pt>
                <c:pt idx="13">
                  <c:v>292</c:v>
                </c:pt>
                <c:pt idx="14">
                  <c:v>455</c:v>
                </c:pt>
                <c:pt idx="15">
                  <c:v>284</c:v>
                </c:pt>
                <c:pt idx="16">
                  <c:v>399</c:v>
                </c:pt>
                <c:pt idx="17">
                  <c:v>388</c:v>
                </c:pt>
                <c:pt idx="18">
                  <c:v>483</c:v>
                </c:pt>
                <c:pt idx="19">
                  <c:v>389</c:v>
                </c:pt>
                <c:pt idx="20">
                  <c:v>455</c:v>
                </c:pt>
                <c:pt idx="21">
                  <c:v>291</c:v>
                </c:pt>
                <c:pt idx="22">
                  <c:v>359</c:v>
                </c:pt>
                <c:pt idx="23">
                  <c:v>319</c:v>
                </c:pt>
                <c:pt idx="24">
                  <c:v>288</c:v>
                </c:pt>
                <c:pt idx="25">
                  <c:v>693</c:v>
                </c:pt>
                <c:pt idx="26">
                  <c:v>593</c:v>
                </c:pt>
                <c:pt idx="28">
                  <c:v>553</c:v>
                </c:pt>
              </c:numCache>
            </c:numRef>
          </c:val>
          <c:extLst>
            <c:ext xmlns:c16="http://schemas.microsoft.com/office/drawing/2014/chart" uri="{C3380CC4-5D6E-409C-BE32-E72D297353CC}">
              <c16:uniqueId val="{00000000-2A17-49D9-8637-C36040120960}"/>
            </c:ext>
          </c:extLst>
        </c:ser>
        <c:dLbls>
          <c:showLegendKey val="0"/>
          <c:showVal val="0"/>
          <c:showCatName val="0"/>
          <c:showSerName val="0"/>
          <c:showPercent val="0"/>
          <c:showBubbleSize val="0"/>
        </c:dLbls>
        <c:gapWidth val="150"/>
        <c:overlap val="100"/>
        <c:axId val="1183086927"/>
        <c:axId val="1183078287"/>
      </c:barChart>
      <c:catAx>
        <c:axId val="118308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078287"/>
        <c:crosses val="autoZero"/>
        <c:auto val="1"/>
        <c:lblAlgn val="ctr"/>
        <c:lblOffset val="100"/>
        <c:noMultiLvlLbl val="0"/>
      </c:catAx>
      <c:valAx>
        <c:axId val="1183078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08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[Excel-Result-Tracker.xlsx]Grade Distribution !PivotTable2</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'Grade Distribution '!$B$3</c:f>
              <c:strCache>
                <c:ptCount val="1"/>
                <c:pt idx="0">
                  <c:v>Sum of A</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407-4DA0-8477-F813E8D6A9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407-4DA0-8477-F813E8D6A9A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'Grade Distribution '!$A$4:$A$6</c:f>
              <c:strCache>
                <c:ptCount val="2"/>
                <c:pt idx="0">
                  <c:v>%</c:v>
                </c:pt>
                <c:pt idx="1">
                  <c:v>Grade Count</c:v>
                </c:pt>
              </c:strCache>
            </c:strRef>
          </c:cat>
          <c:val>
            <c:numRef>
              <c:f>'Grade Distribution '!$B$4:$B$6</c:f>
              <c:numCache>
                <c:formatCode>General</c:formatCode>
                <c:ptCount val="2"/>
                <c:pt idx="0">
                  <c:v>0.10714285714285714</c:v>
                </c:pt>
                <c:pt idx="1">
                  <c:v>3</c:v>
                </c:pt>
              </c:numCache>
            </c:numRef>
          </c:val>
          <c:extLst>
            <c:ext xmlns:c16="http://schemas.microsoft.com/office/drawing/2014/chart" uri="{C3380CC4-5D6E-409C-BE32-E72D297353CC}">
              <c16:uniqueId val="{00000004-A407-4DA0-8477-F813E8D6A9AB}"/>
            </c:ext>
          </c:extLst>
        </c:ser>
        <c:ser>
          <c:idx val="1"/>
          <c:order val="1"/>
          <c:tx>
            <c:strRef>
              <c:f>'Grade Distribution '!$C$3</c:f>
              <c:strCache>
                <c:ptCount val="1"/>
                <c:pt idx="0">
                  <c:v>Sum of B</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A407-4DA0-8477-F813E8D6A9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A407-4DA0-8477-F813E8D6A9A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'Grade Distribution '!$A$4:$A$6</c:f>
              <c:strCache>
                <c:ptCount val="2"/>
                <c:pt idx="0">
                  <c:v>%</c:v>
                </c:pt>
                <c:pt idx="1">
                  <c:v>Grade Count</c:v>
                </c:pt>
              </c:strCache>
            </c:strRef>
          </c:cat>
          <c:val>
            <c:numRef>
              <c:f>'Grade Distribution '!$C$4:$C$6</c:f>
              <c:numCache>
                <c:formatCode>General</c:formatCode>
                <c:ptCount val="2"/>
                <c:pt idx="0">
                  <c:v>0</c:v>
                </c:pt>
                <c:pt idx="1">
                  <c:v>0</c:v>
                </c:pt>
              </c:numCache>
            </c:numRef>
          </c:val>
          <c:extLst>
            <c:ext xmlns:c16="http://schemas.microsoft.com/office/drawing/2014/chart" uri="{C3380CC4-5D6E-409C-BE32-E72D297353CC}">
              <c16:uniqueId val="{00000009-A407-4DA0-8477-F813E8D6A9AB}"/>
            </c:ext>
          </c:extLst>
        </c:ser>
        <c:ser>
          <c:idx val="2"/>
          <c:order val="2"/>
          <c:tx>
            <c:strRef>
              <c:f>'Grade Distribution '!$D$3</c:f>
              <c:strCache>
                <c:ptCount val="1"/>
                <c:pt idx="0">
                  <c:v>Sum of 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407-4DA0-8477-F813E8D6A9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407-4DA0-8477-F813E8D6A9A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'Grade Distribution '!$A$4:$A$6</c:f>
              <c:strCache>
                <c:ptCount val="2"/>
                <c:pt idx="0">
                  <c:v>%</c:v>
                </c:pt>
                <c:pt idx="1">
                  <c:v>Grade Count</c:v>
                </c:pt>
              </c:strCache>
            </c:strRef>
          </c:cat>
          <c:val>
            <c:numRef>
              <c:f>'Grade Distribution '!$D$4:$D$6</c:f>
              <c:numCache>
                <c:formatCode>General</c:formatCode>
                <c:ptCount val="2"/>
                <c:pt idx="0">
                  <c:v>7.1428571428571425E-2</c:v>
                </c:pt>
                <c:pt idx="1">
                  <c:v>2</c:v>
                </c:pt>
              </c:numCache>
            </c:numRef>
          </c:val>
          <c:extLst>
            <c:ext xmlns:c16="http://schemas.microsoft.com/office/drawing/2014/chart" uri="{C3380CC4-5D6E-409C-BE32-E72D297353CC}">
              <c16:uniqueId val="{0000000E-A407-4DA0-8477-F813E8D6A9AB}"/>
            </c:ext>
          </c:extLst>
        </c:ser>
        <c:ser>
          <c:idx val="3"/>
          <c:order val="3"/>
          <c:tx>
            <c:strRef>
              <c:f>'Grade Distribution '!$E$3</c:f>
              <c:strCache>
                <c:ptCount val="1"/>
                <c:pt idx="0">
                  <c:v>Sum of 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A407-4DA0-8477-F813E8D6A9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A407-4DA0-8477-F813E8D6A9A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'Grade Distribution '!$A$4:$A$6</c:f>
              <c:strCache>
                <c:ptCount val="2"/>
                <c:pt idx="0">
                  <c:v>%</c:v>
                </c:pt>
                <c:pt idx="1">
                  <c:v>Grade Count</c:v>
                </c:pt>
              </c:strCache>
            </c:strRef>
          </c:cat>
          <c:val>
            <c:numRef>
              <c:f>'Grade Distribution '!$E$4:$E$6</c:f>
              <c:numCache>
                <c:formatCode>General</c:formatCode>
                <c:ptCount val="2"/>
                <c:pt idx="0">
                  <c:v>0.32142857142857145</c:v>
                </c:pt>
                <c:pt idx="1">
                  <c:v>9</c:v>
                </c:pt>
              </c:numCache>
            </c:numRef>
          </c:val>
          <c:extLst>
            <c:ext xmlns:c16="http://schemas.microsoft.com/office/drawing/2014/chart" uri="{C3380CC4-5D6E-409C-BE32-E72D297353CC}">
              <c16:uniqueId val="{00000013-A407-4DA0-8477-F813E8D6A9AB}"/>
            </c:ext>
          </c:extLst>
        </c:ser>
        <c:ser>
          <c:idx val="4"/>
          <c:order val="4"/>
          <c:tx>
            <c:strRef>
              <c:f>'Grade Distribution '!$F$3</c:f>
              <c:strCache>
                <c:ptCount val="1"/>
                <c:pt idx="0">
                  <c:v>Sum of F</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A407-4DA0-8477-F813E8D6A9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A407-4DA0-8477-F813E8D6A9A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'Grade Distribution '!$A$4:$A$6</c:f>
              <c:strCache>
                <c:ptCount val="2"/>
                <c:pt idx="0">
                  <c:v>%</c:v>
                </c:pt>
                <c:pt idx="1">
                  <c:v>Grade Count</c:v>
                </c:pt>
              </c:strCache>
            </c:strRef>
          </c:cat>
          <c:val>
            <c:numRef>
              <c:f>'Grade Distribution '!$F$4:$F$6</c:f>
              <c:numCache>
                <c:formatCode>General</c:formatCode>
                <c:ptCount val="2"/>
                <c:pt idx="0">
                  <c:v>0.5</c:v>
                </c:pt>
                <c:pt idx="1">
                  <c:v>14</c:v>
                </c:pt>
              </c:numCache>
            </c:numRef>
          </c:val>
          <c:extLst>
            <c:ext xmlns:c16="http://schemas.microsoft.com/office/drawing/2014/chart" uri="{C3380CC4-5D6E-409C-BE32-E72D297353CC}">
              <c16:uniqueId val="{00000018-A407-4DA0-8477-F813E8D6A9A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[Excel-Result-Tracker.xlsx]Subject Average!PivotTable3</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59142607174101E-2"/>
          <c:y val="0.16564596092155148"/>
          <c:w val="0.62294116360454943"/>
          <c:h val="0.75010279965004378"/>
        </c:manualLayout>
      </c:layout>
      <c:barChart>
        <c:barDir val="bar"/>
        <c:grouping val="clustered"/>
        <c:varyColors val="0"/>
        <c:ser>
          <c:idx val="0"/>
          <c:order val="0"/>
          <c:tx>
            <c:strRef>
              <c:f>'Subject Average'!$A$3</c:f>
              <c:strCache>
                <c:ptCount val="1"/>
                <c:pt idx="0">
                  <c:v>Sum of English</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Average'!$A$4</c:f>
              <c:numCache>
                <c:formatCode>0;[Red]0</c:formatCode>
                <c:ptCount val="1"/>
                <c:pt idx="0">
                  <c:v>44.892857142857146</c:v>
                </c:pt>
              </c:numCache>
            </c:numRef>
          </c:val>
          <c:extLst>
            <c:ext xmlns:c16="http://schemas.microsoft.com/office/drawing/2014/chart" uri="{C3380CC4-5D6E-409C-BE32-E72D297353CC}">
              <c16:uniqueId val="{00000000-EB61-4E99-8220-5E75490A05B1}"/>
            </c:ext>
          </c:extLst>
        </c:ser>
        <c:ser>
          <c:idx val="1"/>
          <c:order val="1"/>
          <c:tx>
            <c:strRef>
              <c:f>'Subject Average'!$B$3</c:f>
              <c:strCache>
                <c:ptCount val="1"/>
                <c:pt idx="0">
                  <c:v>Sum of Urdu</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Average'!$B$4</c:f>
              <c:numCache>
                <c:formatCode>0;[Red]0</c:formatCode>
                <c:ptCount val="1"/>
                <c:pt idx="0">
                  <c:v>42.74074074074074</c:v>
                </c:pt>
              </c:numCache>
            </c:numRef>
          </c:val>
          <c:extLst>
            <c:ext xmlns:c16="http://schemas.microsoft.com/office/drawing/2014/chart" uri="{C3380CC4-5D6E-409C-BE32-E72D297353CC}">
              <c16:uniqueId val="{00000001-EB61-4E99-8220-5E75490A05B1}"/>
            </c:ext>
          </c:extLst>
        </c:ser>
        <c:ser>
          <c:idx val="2"/>
          <c:order val="2"/>
          <c:tx>
            <c:strRef>
              <c:f>'Subject Average'!$C$3</c:f>
              <c:strCache>
                <c:ptCount val="1"/>
                <c:pt idx="0">
                  <c:v>Sum of Maths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Average'!$C$4</c:f>
              <c:numCache>
                <c:formatCode>0;[Red]0</c:formatCode>
                <c:ptCount val="1"/>
                <c:pt idx="0">
                  <c:v>72.428571428571431</c:v>
                </c:pt>
              </c:numCache>
            </c:numRef>
          </c:val>
          <c:extLst>
            <c:ext xmlns:c16="http://schemas.microsoft.com/office/drawing/2014/chart" uri="{C3380CC4-5D6E-409C-BE32-E72D297353CC}">
              <c16:uniqueId val="{00000002-EB61-4E99-8220-5E75490A05B1}"/>
            </c:ext>
          </c:extLst>
        </c:ser>
        <c:ser>
          <c:idx val="3"/>
          <c:order val="3"/>
          <c:tx>
            <c:strRef>
              <c:f>'Subject Average'!$D$3</c:f>
              <c:strCache>
                <c:ptCount val="1"/>
                <c:pt idx="0">
                  <c:v>Sum of Science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Average'!$D$4</c:f>
              <c:numCache>
                <c:formatCode>0;[Red]0</c:formatCode>
                <c:ptCount val="1"/>
                <c:pt idx="0">
                  <c:v>68.25</c:v>
                </c:pt>
              </c:numCache>
            </c:numRef>
          </c:val>
          <c:extLst>
            <c:ext xmlns:c16="http://schemas.microsoft.com/office/drawing/2014/chart" uri="{C3380CC4-5D6E-409C-BE32-E72D297353CC}">
              <c16:uniqueId val="{00000003-EB61-4E99-8220-5E75490A05B1}"/>
            </c:ext>
          </c:extLst>
        </c:ser>
        <c:ser>
          <c:idx val="4"/>
          <c:order val="4"/>
          <c:tx>
            <c:strRef>
              <c:f>'Subject Average'!$E$3</c:f>
              <c:strCache>
                <c:ptCount val="1"/>
                <c:pt idx="0">
                  <c:v>Sum of Islamyat</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Average'!$E$4</c:f>
              <c:numCache>
                <c:formatCode>0;[Red]0</c:formatCode>
                <c:ptCount val="1"/>
                <c:pt idx="0">
                  <c:v>43.92</c:v>
                </c:pt>
              </c:numCache>
            </c:numRef>
          </c:val>
          <c:extLst>
            <c:ext xmlns:c16="http://schemas.microsoft.com/office/drawing/2014/chart" uri="{C3380CC4-5D6E-409C-BE32-E72D297353CC}">
              <c16:uniqueId val="{00000004-EB61-4E99-8220-5E75490A05B1}"/>
            </c:ext>
          </c:extLst>
        </c:ser>
        <c:ser>
          <c:idx val="5"/>
          <c:order val="5"/>
          <c:tx>
            <c:strRef>
              <c:f>'Subject Average'!$F$3</c:f>
              <c:strCache>
                <c:ptCount val="1"/>
                <c:pt idx="0">
                  <c:v>Sum of Eng Test</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Average'!$F$4</c:f>
              <c:numCache>
                <c:formatCode>0;[Red]0</c:formatCode>
                <c:ptCount val="1"/>
                <c:pt idx="0">
                  <c:v>67.357142857142861</c:v>
                </c:pt>
              </c:numCache>
            </c:numRef>
          </c:val>
          <c:extLst>
            <c:ext xmlns:c16="http://schemas.microsoft.com/office/drawing/2014/chart" uri="{C3380CC4-5D6E-409C-BE32-E72D297353CC}">
              <c16:uniqueId val="{00000005-EB61-4E99-8220-5E75490A05B1}"/>
            </c:ext>
          </c:extLst>
        </c:ser>
        <c:ser>
          <c:idx val="6"/>
          <c:order val="6"/>
          <c:tx>
            <c:strRef>
              <c:f>'Subject Average'!$G$3</c:f>
              <c:strCache>
                <c:ptCount val="1"/>
                <c:pt idx="0">
                  <c:v>Sum of Urdu Test</c:v>
                </c:pt>
              </c:strCache>
            </c:strRef>
          </c:tx>
          <c:spPr>
            <a:solidFill>
              <a:schemeClr val="accent1">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Average'!$G$4</c:f>
              <c:numCache>
                <c:formatCode>0;[Red]0</c:formatCode>
                <c:ptCount val="1"/>
                <c:pt idx="0">
                  <c:v>52.444444444444443</c:v>
                </c:pt>
              </c:numCache>
            </c:numRef>
          </c:val>
          <c:extLst>
            <c:ext xmlns:c16="http://schemas.microsoft.com/office/drawing/2014/chart" uri="{C3380CC4-5D6E-409C-BE32-E72D297353CC}">
              <c16:uniqueId val="{00000006-EB61-4E99-8220-5E75490A05B1}"/>
            </c:ext>
          </c:extLst>
        </c:ser>
        <c:ser>
          <c:idx val="7"/>
          <c:order val="7"/>
          <c:tx>
            <c:strRef>
              <c:f>'Subject Average'!$H$3</c:f>
              <c:strCache>
                <c:ptCount val="1"/>
                <c:pt idx="0">
                  <c:v>Sum of Nazira</c:v>
                </c:pt>
              </c:strCache>
            </c:strRef>
          </c:tx>
          <c:spPr>
            <a:solidFill>
              <a:schemeClr val="accent2">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 Average'!$A$4</c:f>
              <c:strCache>
                <c:ptCount val="1"/>
                <c:pt idx="0">
                  <c:v>Total</c:v>
                </c:pt>
              </c:strCache>
            </c:strRef>
          </c:cat>
          <c:val>
            <c:numRef>
              <c:f>'Subject Average'!$H$4</c:f>
              <c:numCache>
                <c:formatCode>0;[Red]0</c:formatCode>
                <c:ptCount val="1"/>
                <c:pt idx="0">
                  <c:v>49.285714285714285</c:v>
                </c:pt>
              </c:numCache>
            </c:numRef>
          </c:val>
          <c:extLst>
            <c:ext xmlns:c16="http://schemas.microsoft.com/office/drawing/2014/chart" uri="{C3380CC4-5D6E-409C-BE32-E72D297353CC}">
              <c16:uniqueId val="{00000007-EB61-4E99-8220-5E75490A05B1}"/>
            </c:ext>
          </c:extLst>
        </c:ser>
        <c:dLbls>
          <c:dLblPos val="inEnd"/>
          <c:showLegendKey val="0"/>
          <c:showVal val="1"/>
          <c:showCatName val="0"/>
          <c:showSerName val="0"/>
          <c:showPercent val="0"/>
          <c:showBubbleSize val="0"/>
        </c:dLbls>
        <c:gapWidth val="65"/>
        <c:axId val="1465873855"/>
        <c:axId val="1465892575"/>
      </c:barChart>
      <c:catAx>
        <c:axId val="14658738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65892575"/>
        <c:crosses val="autoZero"/>
        <c:auto val="1"/>
        <c:lblAlgn val="ctr"/>
        <c:lblOffset val="100"/>
        <c:noMultiLvlLbl val="0"/>
      </c:catAx>
      <c:valAx>
        <c:axId val="14658925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65873855"/>
        <c:crosses val="autoZero"/>
        <c:crossBetween val="between"/>
      </c:valAx>
      <c:spPr>
        <a:solidFill>
          <a:schemeClr val="bg1">
            <a:lumMod val="85000"/>
          </a:schemeClr>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9524</xdr:colOff>
      <xdr:row>6</xdr:row>
      <xdr:rowOff>71436</xdr:rowOff>
    </xdr:from>
    <xdr:to>
      <xdr:col>12</xdr:col>
      <xdr:colOff>114299</xdr:colOff>
      <xdr:row>22</xdr:row>
      <xdr:rowOff>133349</xdr:rowOff>
    </xdr:to>
    <xdr:graphicFrame macro="">
      <xdr:nvGraphicFramePr>
        <xdr:cNvPr id="2" name="Chart 1">
          <a:extLst>
            <a:ext uri="{FF2B5EF4-FFF2-40B4-BE49-F238E27FC236}">
              <a16:creationId xmlns:a16="http://schemas.microsoft.com/office/drawing/2014/main" id="{523E2BDE-831D-E736-C70B-2174497A5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352425</xdr:colOff>
      <xdr:row>6</xdr:row>
      <xdr:rowOff>100012</xdr:rowOff>
    </xdr:from>
    <xdr:to>
      <xdr:col>11</xdr:col>
      <xdr:colOff>485775</xdr:colOff>
      <xdr:row>20</xdr:row>
      <xdr:rowOff>176212</xdr:rowOff>
    </xdr:to>
    <xdr:graphicFrame macro="">
      <xdr:nvGraphicFramePr>
        <xdr:cNvPr id="2" name="Chart 1">
          <a:extLst>
            <a:ext uri="{FF2B5EF4-FFF2-40B4-BE49-F238E27FC236}">
              <a16:creationId xmlns:a16="http://schemas.microsoft.com/office/drawing/2014/main" id="{E128B10A-A0B9-89F8-1A92-90D6E796F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400050</xdr:colOff>
      <xdr:row>4</xdr:row>
      <xdr:rowOff>119062</xdr:rowOff>
    </xdr:from>
    <xdr:to>
      <xdr:col>7</xdr:col>
      <xdr:colOff>28575</xdr:colOff>
      <xdr:row>19</xdr:row>
      <xdr:rowOff>4762</xdr:rowOff>
    </xdr:to>
    <xdr:graphicFrame macro="">
      <xdr:nvGraphicFramePr>
        <xdr:cNvPr id="2" name="Chart 1">
          <a:extLst>
            <a:ext uri="{FF2B5EF4-FFF2-40B4-BE49-F238E27FC236}">
              <a16:creationId xmlns:a16="http://schemas.microsoft.com/office/drawing/2014/main" id="{D4944C01-A2AC-7CC5-EC9D-A4FB89427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276225</xdr:colOff>
      <xdr:row>2</xdr:row>
      <xdr:rowOff>19050</xdr:rowOff>
    </xdr:from>
    <xdr:to>
      <xdr:col>13</xdr:col>
      <xdr:colOff>381000</xdr:colOff>
      <xdr:row>18</xdr:row>
      <xdr:rowOff>52388</xdr:rowOff>
    </xdr:to>
    <xdr:graphicFrame macro="">
      <xdr:nvGraphicFramePr>
        <xdr:cNvPr id="2" name="Chart 1">
          <a:extLst>
            <a:ext uri="{FF2B5EF4-FFF2-40B4-BE49-F238E27FC236}">
              <a16:creationId xmlns:a16="http://schemas.microsoft.com/office/drawing/2014/main" id="{7BF61DD1-81F5-40B6-8256-B20797B06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85725</xdr:colOff>
      <xdr:row>19</xdr:row>
      <xdr:rowOff>209550</xdr:rowOff>
    </xdr:from>
    <xdr:to>
      <xdr:col>16</xdr:col>
      <xdr:colOff>600075</xdr:colOff>
      <xdr:row>33</xdr:row>
      <xdr:rowOff>152400</xdr:rowOff>
    </xdr:to>
    <xdr:graphicFrame macro="">
      <xdr:nvGraphicFramePr>
        <xdr:cNvPr id="3" name="Chart 2">
          <a:extLst>
            <a:ext uri="{FF2B5EF4-FFF2-40B4-BE49-F238E27FC236}">
              <a16:creationId xmlns:a16="http://schemas.microsoft.com/office/drawing/2014/main" id="{7404C373-FE2F-4AFD-BCB8-5C8D5E1B7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419100</xdr:colOff>
      <xdr:row>2</xdr:row>
      <xdr:rowOff>38099</xdr:rowOff>
    </xdr:from>
    <xdr:to>
      <xdr:col>21</xdr:col>
      <xdr:colOff>114300</xdr:colOff>
      <xdr:row>18</xdr:row>
      <xdr:rowOff>19049</xdr:rowOff>
    </xdr:to>
    <xdr:graphicFrame macro="">
      <xdr:nvGraphicFramePr>
        <xdr:cNvPr id="4" name="Chart 3">
          <a:extLst>
            <a:ext uri="{FF2B5EF4-FFF2-40B4-BE49-F238E27FC236}">
              <a16:creationId xmlns:a16="http://schemas.microsoft.com/office/drawing/2014/main" id="{43413C0A-8257-4E86-A036-5AFFB7DCC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r  Rahman Dawar" refreshedDate="46195.757086689817" createdVersion="8" refreshedVersion="8" minRefreshableVersion="3" recordCount="31" xr:uid="{FE8AF919-4600-4C4C-AF0F-2BE9B0C610AB}">
  <cacheSource type="worksheet">
    <worksheetSource ref="A1:R1048576" sheet="Raw Data"/>
  </cacheSource>
  <cacheFields count="18">
    <cacheField name="S.NO" numFmtId="0">
      <sharedItems containsString="0" containsBlank="1" containsNumber="1" containsInteger="1" minValue="1" maxValue="28"/>
    </cacheField>
    <cacheField name="Name" numFmtId="0">
      <sharedItems containsBlank="1" count="29">
        <s v="Amir Nazir"/>
        <s v="Sudais"/>
        <s v="Talha"/>
        <s v="Abid"/>
        <s v="Rashid Ullah"/>
        <s v="Touseef"/>
        <s v="Waqas"/>
        <s v="Afaq"/>
        <s v="Hesham"/>
        <s v="Salim"/>
        <s v="Asad Ullah"/>
        <s v="Salman"/>
        <s v="Fawad"/>
        <s v="Hamayon"/>
        <s v="Nasir "/>
        <s v="Senan"/>
        <s v="Ahmad"/>
        <s v="Talal"/>
        <s v="Misbah"/>
        <s v="Hamza"/>
        <s v="Sahil"/>
        <s v="Alfan"/>
        <s v="Qasim"/>
        <s v="Bihzad "/>
        <s v="Dilshan"/>
        <s v="Seyab"/>
        <s v="Mosawer"/>
        <s v="Adnan"/>
        <m/>
      </sharedItems>
    </cacheField>
    <cacheField name="Rol No" numFmtId="0">
      <sharedItems containsString="0" containsBlank="1" containsNumber="1" containsInteger="1" minValue="301" maxValue="328"/>
    </cacheField>
    <cacheField name="English" numFmtId="0">
      <sharedItems containsString="0" containsBlank="1" containsNumber="1" containsInteger="1" minValue="33" maxValue="100"/>
    </cacheField>
    <cacheField name="Urdu" numFmtId="0">
      <sharedItems containsBlank="1" containsMixedTypes="1" containsNumber="1" containsInteger="1" minValue="33" maxValue="100"/>
    </cacheField>
    <cacheField name="Maths" numFmtId="0">
      <sharedItems containsString="0" containsBlank="1" containsNumber="1" containsInteger="1" minValue="33" maxValue="100"/>
    </cacheField>
    <cacheField name="Science" numFmtId="0">
      <sharedItems containsString="0" containsBlank="1" containsNumber="1" containsInteger="1" minValue="33" maxValue="100"/>
    </cacheField>
    <cacheField name="Islamyat" numFmtId="0">
      <sharedItems containsBlank="1" containsMixedTypes="1" containsNumber="1" containsInteger="1" minValue="33" maxValue="100"/>
    </cacheField>
    <cacheField name="Eng Test" numFmtId="0">
      <sharedItems containsString="0" containsBlank="1" containsNumber="1" containsInteger="1" minValue="33" maxValue="100"/>
    </cacheField>
    <cacheField name="Urdu Test" numFmtId="0">
      <sharedItems containsBlank="1" containsMixedTypes="1" containsNumber="1" containsInteger="1" minValue="32" maxValue="96"/>
    </cacheField>
    <cacheField name="Nazira" numFmtId="0">
      <sharedItems containsString="0" containsBlank="1" containsNumber="1" containsInteger="1" minValue="30" maxValue="50"/>
    </cacheField>
    <cacheField name="Total" numFmtId="0">
      <sharedItems containsString="0" containsBlank="1" containsNumber="1" containsInteger="1" minValue="284" maxValue="722"/>
    </cacheField>
    <cacheField name="Name for Rank" numFmtId="0">
      <sharedItems containsBlank="1"/>
    </cacheField>
    <cacheField name="Rank" numFmtId="0">
      <sharedItems containsString="0" containsBlank="1" containsNumber="1" containsInteger="1" minValue="1" maxValue="28"/>
    </cacheField>
    <cacheField name="Percentage" numFmtId="0">
      <sharedItems containsString="0" containsBlank="1" containsNumber="1" minValue="0.37866666666666665" maxValue="0.96266666666666667"/>
    </cacheField>
    <cacheField name="Grade" numFmtId="0">
      <sharedItems containsBlank="1"/>
    </cacheField>
    <cacheField name="Performance" numFmtId="0">
      <sharedItems containsBlank="1"/>
    </cacheField>
    <cacheField name="Statu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r  Rahman Dawar" refreshedDate="46195.757168750002" createdVersion="8" refreshedVersion="8" minRefreshableVersion="3" recordCount="1" xr:uid="{D874CBF1-4850-4DC8-BD61-6D67BE873DB5}">
  <cacheSource type="worksheet">
    <worksheetSource ref="B32:I33" sheet=" Class Metrics "/>
  </cacheSource>
  <cacheFields count="8">
    <cacheField name="English" numFmtId="164">
      <sharedItems containsSemiMixedTypes="0" containsString="0" containsNumber="1" minValue="44.892857142857146" maxValue="44.892857142857146"/>
    </cacheField>
    <cacheField name="Urdu" numFmtId="164">
      <sharedItems containsSemiMixedTypes="0" containsString="0" containsNumber="1" minValue="42.74074074074074" maxValue="42.74074074074074"/>
    </cacheField>
    <cacheField name="Maths" numFmtId="164">
      <sharedItems containsSemiMixedTypes="0" containsString="0" containsNumber="1" minValue="72.428571428571431" maxValue="72.428571428571431"/>
    </cacheField>
    <cacheField name="Science" numFmtId="164">
      <sharedItems containsSemiMixedTypes="0" containsString="0" containsNumber="1" minValue="68.25" maxValue="68.25"/>
    </cacheField>
    <cacheField name="Islamyat" numFmtId="164">
      <sharedItems containsSemiMixedTypes="0" containsString="0" containsNumber="1" minValue="43.92" maxValue="43.92"/>
    </cacheField>
    <cacheField name="Eng Test" numFmtId="164">
      <sharedItems containsSemiMixedTypes="0" containsString="0" containsNumber="1" minValue="67.357142857142861" maxValue="67.357142857142861"/>
    </cacheField>
    <cacheField name="Urdu Test" numFmtId="164">
      <sharedItems containsSemiMixedTypes="0" containsString="0" containsNumber="1" minValue="52.444444444444443" maxValue="52.444444444444443"/>
    </cacheField>
    <cacheField name="Nazira" numFmtId="164">
      <sharedItems containsSemiMixedTypes="0" containsString="0" containsNumber="1" minValue="49.285714285714285" maxValue="49.28571428571428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r  Rahman Dawar" refreshedDate="46195.758627662035" createdVersion="8" refreshedVersion="8" minRefreshableVersion="3" recordCount="2" xr:uid="{B016F13E-B694-42D9-B693-E5B41847CAB4}">
  <cacheSource type="worksheet">
    <worksheetSource ref="B27:G29" sheet=" Class Metrics "/>
  </cacheSource>
  <cacheFields count="6">
    <cacheField name="Grade Distribution" numFmtId="0">
      <sharedItems count="2">
        <s v="Grade Count"/>
        <s v="%"/>
      </sharedItems>
    </cacheField>
    <cacheField name="A" numFmtId="0">
      <sharedItems containsSemiMixedTypes="0" containsString="0" containsNumber="1" minValue="0.10714285714285714" maxValue="3"/>
    </cacheField>
    <cacheField name="B" numFmtId="0">
      <sharedItems containsSemiMixedTypes="0" containsString="0" containsNumber="1" containsInteger="1" minValue="0" maxValue="0"/>
    </cacheField>
    <cacheField name="C" numFmtId="0">
      <sharedItems containsSemiMixedTypes="0" containsString="0" containsNumber="1" minValue="7.1428571428571425E-2" maxValue="2"/>
    </cacheField>
    <cacheField name="D" numFmtId="0">
      <sharedItems containsSemiMixedTypes="0" containsString="0" containsNumber="1" minValue="0.32142857142857145" maxValue="9"/>
    </cacheField>
    <cacheField name="F" numFmtId="0">
      <sharedItems containsSemiMixedTypes="0" containsString="0" containsNumber="1" minValue="0.5" maxValue="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
    <x v="0"/>
    <n v="301"/>
    <n v="100"/>
    <n v="100"/>
    <n v="98"/>
    <n v="100"/>
    <n v="98"/>
    <n v="100"/>
    <n v="96"/>
    <n v="30"/>
    <n v="722"/>
    <s v="Amir Nazir"/>
    <n v="1"/>
    <n v="0.96266666666666667"/>
    <s v="A"/>
    <s v="Excellent"/>
    <s v="Pass"/>
  </r>
  <r>
    <n v="2"/>
    <x v="1"/>
    <n v="302"/>
    <n v="57"/>
    <n v="33"/>
    <n v="60"/>
    <n v="60"/>
    <n v="33"/>
    <n v="33"/>
    <n v="33"/>
    <n v="50"/>
    <n v="359"/>
    <s v="Sudais"/>
    <n v="20"/>
    <n v="0.47866666666666668"/>
    <s v="F"/>
    <s v="Needs Improvement"/>
    <s v="Pass"/>
  </r>
  <r>
    <n v="3"/>
    <x v="2"/>
    <n v="303"/>
    <n v="33"/>
    <n v="33"/>
    <n v="33"/>
    <n v="33"/>
    <n v="33"/>
    <n v="33"/>
    <n v="40"/>
    <n v="50"/>
    <n v="288"/>
    <s v="Talha"/>
    <n v="27"/>
    <n v="0.38400000000000001"/>
    <s v="F"/>
    <s v="Needs Improvement"/>
    <s v="Pass"/>
  </r>
  <r>
    <n v="4"/>
    <x v="3"/>
    <n v="304"/>
    <n v="100"/>
    <n v="90"/>
    <n v="90"/>
    <n v="70"/>
    <n v="100"/>
    <n v="88"/>
    <n v="92"/>
    <n v="50"/>
    <n v="680"/>
    <s v="Abid"/>
    <n v="3"/>
    <n v="0.90666666666666662"/>
    <s v="A"/>
    <s v="Excellent"/>
    <s v="Pass"/>
  </r>
  <r>
    <n v="5"/>
    <x v="4"/>
    <n v="305"/>
    <n v="33"/>
    <n v="100"/>
    <n v="90"/>
    <n v="33"/>
    <s v="A"/>
    <n v="33"/>
    <n v="60"/>
    <n v="50"/>
    <n v="399"/>
    <s v="Rashid Ullah"/>
    <n v="15"/>
    <n v="0.53200000000000003"/>
    <s v="F"/>
    <s v="Needs Improvement"/>
    <s v="Pass"/>
  </r>
  <r>
    <n v="6"/>
    <x v="5"/>
    <n v="306"/>
    <n v="91"/>
    <n v="60"/>
    <n v="100"/>
    <n v="100"/>
    <n v="96"/>
    <n v="100"/>
    <n v="96"/>
    <n v="50"/>
    <n v="693"/>
    <s v="Touseef"/>
    <n v="2"/>
    <n v="0.92400000000000004"/>
    <s v="A"/>
    <s v="Excellent"/>
    <s v="Pass"/>
  </r>
  <r>
    <n v="7"/>
    <x v="6"/>
    <n v="307"/>
    <n v="98"/>
    <n v="33"/>
    <n v="96"/>
    <n v="96"/>
    <n v="88"/>
    <n v="72"/>
    <n v="60"/>
    <n v="50"/>
    <n v="593"/>
    <s v="Waqas"/>
    <n v="4"/>
    <n v="0.79066666666666663"/>
    <s v="C"/>
    <s v="Good"/>
    <s v="Pass"/>
  </r>
  <r>
    <n v="8"/>
    <x v="7"/>
    <n v="308"/>
    <n v="65"/>
    <n v="33"/>
    <n v="34"/>
    <n v="100"/>
    <n v="44"/>
    <n v="52"/>
    <n v="92"/>
    <n v="50"/>
    <n v="470"/>
    <s v="Afaq"/>
    <n v="8"/>
    <n v="0.62666666666666671"/>
    <s v="D"/>
    <s v="Satisfactory"/>
    <s v="Pass"/>
  </r>
  <r>
    <n v="9"/>
    <x v="8"/>
    <n v="309"/>
    <n v="33"/>
    <n v="33"/>
    <n v="90"/>
    <n v="100"/>
    <n v="33"/>
    <n v="80"/>
    <n v="40"/>
    <n v="50"/>
    <n v="459"/>
    <s v="Hesham"/>
    <n v="10"/>
    <n v="0.61199999999999999"/>
    <s v="D"/>
    <s v="Satisfactory"/>
    <s v="Pass"/>
  </r>
  <r>
    <n v="10"/>
    <x v="9"/>
    <n v="310"/>
    <n v="33"/>
    <n v="33"/>
    <n v="90"/>
    <n v="100"/>
    <n v="33"/>
    <n v="80"/>
    <n v="64"/>
    <n v="50"/>
    <n v="483"/>
    <s v="Salim"/>
    <n v="6"/>
    <n v="0.64400000000000002"/>
    <s v="D"/>
    <s v="Satisfactory"/>
    <s v="Pass"/>
  </r>
  <r>
    <n v="11"/>
    <x v="10"/>
    <n v="311"/>
    <n v="33"/>
    <n v="33"/>
    <n v="90"/>
    <n v="100"/>
    <n v="33"/>
    <n v="80"/>
    <n v="64"/>
    <n v="50"/>
    <n v="483"/>
    <s v="Asad Ullah"/>
    <n v="6"/>
    <n v="0.64400000000000002"/>
    <s v="D"/>
    <s v="Satisfactory"/>
    <s v="Pass"/>
  </r>
  <r>
    <n v="12"/>
    <x v="11"/>
    <n v="312"/>
    <n v="33"/>
    <s v="A"/>
    <n v="90"/>
    <n v="100"/>
    <s v="A"/>
    <n v="80"/>
    <n v="36"/>
    <n v="50"/>
    <n v="389"/>
    <s v="Salman"/>
    <n v="16"/>
    <n v="0.51866666666666672"/>
    <s v="F"/>
    <s v="Needs Improvement"/>
    <s v="Pass"/>
  </r>
  <r>
    <n v="13"/>
    <x v="12"/>
    <n v="313"/>
    <n v="33"/>
    <n v="33"/>
    <n v="90"/>
    <n v="100"/>
    <n v="33"/>
    <n v="80"/>
    <n v="36"/>
    <n v="50"/>
    <n v="455"/>
    <s v="Fawad"/>
    <n v="11"/>
    <n v="0.60666666666666669"/>
    <s v="D"/>
    <s v="Satisfactory"/>
    <s v="Pass"/>
  </r>
  <r>
    <n v="14"/>
    <x v="13"/>
    <n v="314"/>
    <n v="33"/>
    <n v="33"/>
    <n v="90"/>
    <n v="100"/>
    <n v="33"/>
    <n v="80"/>
    <n v="50"/>
    <n v="50"/>
    <n v="469"/>
    <s v="Hamayon"/>
    <n v="9"/>
    <n v="0.6253333333333333"/>
    <s v="D"/>
    <s v="Satisfactory"/>
    <s v="Pass"/>
  </r>
  <r>
    <n v="15"/>
    <x v="14"/>
    <n v="315"/>
    <n v="33"/>
    <n v="33"/>
    <n v="90"/>
    <n v="100"/>
    <n v="33"/>
    <n v="80"/>
    <n v="36"/>
    <n v="50"/>
    <n v="455"/>
    <s v="Nasir "/>
    <n v="11"/>
    <n v="0.60666666666666669"/>
    <s v="D"/>
    <s v="Satisfactory"/>
    <s v="Pass"/>
  </r>
  <r>
    <n v="16"/>
    <x v="15"/>
    <n v="316"/>
    <n v="33"/>
    <n v="33"/>
    <n v="90"/>
    <n v="100"/>
    <n v="33"/>
    <n v="80"/>
    <n v="36"/>
    <n v="50"/>
    <n v="455"/>
    <s v="Senan"/>
    <n v="11"/>
    <n v="0.60666666666666669"/>
    <s v="D"/>
    <s v="Satisfactory"/>
    <s v="Pass"/>
  </r>
  <r>
    <n v="17"/>
    <x v="16"/>
    <n v="317"/>
    <n v="33"/>
    <n v="33"/>
    <n v="90"/>
    <n v="100"/>
    <n v="33"/>
    <n v="80"/>
    <n v="36"/>
    <n v="50"/>
    <n v="455"/>
    <s v="Ahmad"/>
    <n v="11"/>
    <n v="0.60666666666666669"/>
    <s v="D"/>
    <s v="Satisfactory"/>
    <s v="Pass"/>
  </r>
  <r>
    <n v="18"/>
    <x v="17"/>
    <n v="318"/>
    <n v="33"/>
    <n v="33"/>
    <n v="90"/>
    <n v="33"/>
    <s v="A"/>
    <n v="80"/>
    <s v="A"/>
    <n v="50"/>
    <n v="319"/>
    <s v="Talal"/>
    <n v="22"/>
    <n v="0.42533333333333334"/>
    <s v="F"/>
    <s v="Needs Improvement"/>
    <s v="Pass"/>
  </r>
  <r>
    <n v="19"/>
    <x v="18"/>
    <n v="319"/>
    <n v="33"/>
    <n v="33"/>
    <n v="90"/>
    <n v="33"/>
    <n v="33"/>
    <n v="80"/>
    <n v="36"/>
    <n v="50"/>
    <n v="388"/>
    <s v="Misbah"/>
    <n v="17"/>
    <n v="0.51733333333333331"/>
    <s v="F"/>
    <s v="Needs Improvement"/>
    <s v="Pass"/>
  </r>
  <r>
    <n v="20"/>
    <x v="19"/>
    <n v="320"/>
    <n v="33"/>
    <n v="33"/>
    <n v="76"/>
    <n v="33"/>
    <n v="33"/>
    <n v="80"/>
    <n v="32"/>
    <n v="50"/>
    <n v="370"/>
    <s v="Hamza"/>
    <n v="19"/>
    <n v="0.49333333333333335"/>
    <s v="F"/>
    <s v="Needs Improvement"/>
    <s v="Pass"/>
  </r>
  <r>
    <n v="21"/>
    <x v="20"/>
    <n v="321"/>
    <n v="33"/>
    <n v="33"/>
    <n v="90"/>
    <n v="33"/>
    <n v="33"/>
    <n v="80"/>
    <n v="36"/>
    <n v="50"/>
    <n v="388"/>
    <s v="Sahil"/>
    <n v="17"/>
    <n v="0.51733333333333331"/>
    <s v="F"/>
    <s v="Needs Improvement"/>
    <s v="Pass"/>
  </r>
  <r>
    <n v="22"/>
    <x v="21"/>
    <n v="322"/>
    <n v="33"/>
    <n v="33"/>
    <n v="33"/>
    <n v="33"/>
    <n v="33"/>
    <n v="80"/>
    <n v="36"/>
    <n v="50"/>
    <n v="331"/>
    <s v="Alfan"/>
    <n v="21"/>
    <n v="0.44133333333333336"/>
    <s v="F"/>
    <s v="Needs Improvement"/>
    <s v="Pass"/>
  </r>
  <r>
    <n v="23"/>
    <x v="22"/>
    <n v="323"/>
    <n v="33"/>
    <n v="33"/>
    <n v="33"/>
    <n v="33"/>
    <n v="33"/>
    <n v="33"/>
    <n v="36"/>
    <n v="50"/>
    <n v="284"/>
    <s v="Qasim"/>
    <n v="28"/>
    <n v="0.37866666666666665"/>
    <s v="F"/>
    <s v="Needs Improvement"/>
    <s v="Pass"/>
  </r>
  <r>
    <n v="24"/>
    <x v="23"/>
    <n v="324"/>
    <n v="33"/>
    <n v="33"/>
    <n v="33"/>
    <n v="33"/>
    <n v="33"/>
    <n v="33"/>
    <n v="48"/>
    <n v="50"/>
    <n v="296"/>
    <s v="Bihzad "/>
    <n v="24"/>
    <n v="0.39466666666666667"/>
    <s v="F"/>
    <s v="Needs Improvement"/>
    <s v="Pass"/>
  </r>
  <r>
    <n v="25"/>
    <x v="24"/>
    <n v="325"/>
    <n v="41"/>
    <n v="33"/>
    <n v="36"/>
    <n v="33"/>
    <n v="33"/>
    <n v="33"/>
    <n v="52"/>
    <n v="50"/>
    <n v="311"/>
    <s v="Dilshan"/>
    <n v="23"/>
    <n v="0.41466666666666668"/>
    <s v="F"/>
    <s v="Needs Improvement"/>
    <s v="Pass"/>
  </r>
  <r>
    <n v="26"/>
    <x v="25"/>
    <n v="326"/>
    <n v="33"/>
    <n v="33"/>
    <n v="36"/>
    <n v="33"/>
    <n v="33"/>
    <n v="33"/>
    <n v="40"/>
    <n v="50"/>
    <n v="291"/>
    <s v="Seyab"/>
    <n v="26"/>
    <n v="0.38800000000000001"/>
    <s v="F"/>
    <s v="Needs Improvement"/>
    <s v="Pass"/>
  </r>
  <r>
    <n v="27"/>
    <x v="26"/>
    <n v="327"/>
    <n v="33"/>
    <n v="33"/>
    <n v="33"/>
    <n v="33"/>
    <n v="33"/>
    <n v="33"/>
    <n v="44"/>
    <n v="50"/>
    <n v="292"/>
    <s v="Mosawer"/>
    <n v="25"/>
    <n v="0.38933333333333331"/>
    <s v="F"/>
    <s v="Needs Improvement"/>
    <s v="Pass"/>
  </r>
  <r>
    <n v="28"/>
    <x v="27"/>
    <n v="328"/>
    <n v="45"/>
    <n v="78"/>
    <n v="67"/>
    <n v="89"/>
    <n v="45"/>
    <n v="90"/>
    <n v="89"/>
    <n v="50"/>
    <n v="553"/>
    <s v="Adnan"/>
    <n v="5"/>
    <n v="0.73733333333333329"/>
    <s v="C"/>
    <s v="Good"/>
    <s v="Pass"/>
  </r>
  <r>
    <m/>
    <x v="28"/>
    <m/>
    <m/>
    <m/>
    <m/>
    <m/>
    <m/>
    <m/>
    <s v="Go back to home"/>
    <m/>
    <m/>
    <m/>
    <m/>
    <m/>
    <m/>
    <m/>
    <m/>
  </r>
  <r>
    <m/>
    <x v="28"/>
    <m/>
    <m/>
    <m/>
    <m/>
    <m/>
    <m/>
    <m/>
    <s v="Click Here"/>
    <m/>
    <m/>
    <m/>
    <m/>
    <m/>
    <m/>
    <m/>
    <m/>
  </r>
  <r>
    <m/>
    <x v="28"/>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44.892857142857146"/>
    <n v="42.74074074074074"/>
    <n v="72.428571428571431"/>
    <n v="68.25"/>
    <n v="43.92"/>
    <n v="67.357142857142861"/>
    <n v="52.444444444444443"/>
    <n v="49.28571428571428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3"/>
    <n v="0"/>
    <n v="2"/>
    <n v="9"/>
    <n v="14"/>
  </r>
  <r>
    <x v="1"/>
    <n v="0.10714285714285714"/>
    <n v="0"/>
    <n v="7.1428571428571425E-2"/>
    <n v="0.32142857142857145"/>
    <n v="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CABF30-291B-4EE4-B9C4-997D1AE211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2:C32" firstHeaderRow="1" firstDataRow="1" firstDataCol="1"/>
  <pivotFields count="18">
    <pivotField showAll="0"/>
    <pivotField axis="axisRow" showAll="0">
      <items count="30">
        <item x="3"/>
        <item x="7"/>
        <item x="16"/>
        <item x="21"/>
        <item x="0"/>
        <item x="10"/>
        <item x="23"/>
        <item x="24"/>
        <item x="12"/>
        <item x="13"/>
        <item x="19"/>
        <item x="8"/>
        <item x="18"/>
        <item x="26"/>
        <item x="14"/>
        <item x="22"/>
        <item x="4"/>
        <item x="20"/>
        <item x="9"/>
        <item x="11"/>
        <item x="15"/>
        <item x="25"/>
        <item x="1"/>
        <item x="17"/>
        <item x="2"/>
        <item x="5"/>
        <item x="6"/>
        <item x="28"/>
        <item x="2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Total" fld="11" baseField="0" baseItem="0"/>
  </dataFields>
  <chartFormats count="2">
    <chartFormat chart="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124FBC-2928-4B7E-9FBD-6D841C5288F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6" firstHeaderRow="0" firstDataRow="1" firstDataCol="1"/>
  <pivotFields count="6">
    <pivotField axis="axisRow" showAll="0">
      <items count="3">
        <item x="1"/>
        <item x="0"/>
        <item t="default"/>
      </items>
    </pivotField>
    <pivotField dataField="1" showAll="0"/>
    <pivotField dataField="1" showAll="0"/>
    <pivotField dataField="1" showAll="0"/>
    <pivotField dataField="1" showAll="0"/>
    <pivotField dataField="1" showAll="0"/>
  </pivotFields>
  <rowFields count="1">
    <field x="0"/>
  </rowFields>
  <rowItems count="3">
    <i>
      <x/>
    </i>
    <i>
      <x v="1"/>
    </i>
    <i t="grand">
      <x/>
    </i>
  </rowItems>
  <colFields count="1">
    <field x="-2"/>
  </colFields>
  <colItems count="5">
    <i>
      <x/>
    </i>
    <i i="1">
      <x v="1"/>
    </i>
    <i i="2">
      <x v="2"/>
    </i>
    <i i="3">
      <x v="3"/>
    </i>
    <i i="4">
      <x v="4"/>
    </i>
  </colItems>
  <dataFields count="5">
    <dataField name="Sum of A" fld="1" baseField="0" baseItem="0"/>
    <dataField name="Sum of B" fld="2" baseField="0" baseItem="0"/>
    <dataField name="Sum of C" fld="3" baseField="0" baseItem="0"/>
    <dataField name="Sum of D" fld="4" baseField="0" baseItem="0"/>
    <dataField name="Sum of F" fld="5" baseField="0" baseItem="0"/>
  </dataFields>
  <formats count="2">
    <format dxfId="17">
      <pivotArea collapsedLevelsAreSubtotals="1" fieldPosition="0">
        <references count="1">
          <reference field="0" count="1">
            <x v="0"/>
          </reference>
        </references>
      </pivotArea>
    </format>
    <format dxfId="16">
      <pivotArea dataOnly="0" labelOnly="1" fieldPosition="0">
        <references count="1">
          <reference field="0" count="1">
            <x v="0"/>
          </reference>
        </references>
      </pivotArea>
    </format>
  </format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1"/>
          </reference>
          <reference field="0" count="1" selected="0">
            <x v="0"/>
          </reference>
        </references>
      </pivotArea>
    </chartFormat>
    <chartFormat chart="0" format="8">
      <pivotArea type="data" outline="0" fieldPosition="0">
        <references count="2">
          <reference field="4294967294" count="1" selected="0">
            <x v="1"/>
          </reference>
          <reference field="0" count="1" selected="0">
            <x v="1"/>
          </reference>
        </references>
      </pivotArea>
    </chartFormat>
    <chartFormat chart="0" format="9">
      <pivotArea type="data" outline="0" fieldPosition="0">
        <references count="2">
          <reference field="4294967294" count="1" selected="0">
            <x v="2"/>
          </reference>
          <reference field="0" count="1" selected="0">
            <x v="0"/>
          </reference>
        </references>
      </pivotArea>
    </chartFormat>
    <chartFormat chart="0" format="10">
      <pivotArea type="data" outline="0" fieldPosition="0">
        <references count="2">
          <reference field="4294967294" count="1" selected="0">
            <x v="2"/>
          </reference>
          <reference field="0" count="1" selected="0">
            <x v="1"/>
          </reference>
        </references>
      </pivotArea>
    </chartFormat>
    <chartFormat chart="0" format="11">
      <pivotArea type="data" outline="0" fieldPosition="0">
        <references count="2">
          <reference field="4294967294" count="1" selected="0">
            <x v="3"/>
          </reference>
          <reference field="0" count="1" selected="0">
            <x v="0"/>
          </reference>
        </references>
      </pivotArea>
    </chartFormat>
    <chartFormat chart="0" format="12">
      <pivotArea type="data" outline="0" fieldPosition="0">
        <references count="2">
          <reference field="4294967294" count="1" selected="0">
            <x v="3"/>
          </reference>
          <reference field="0" count="1" selected="0">
            <x v="1"/>
          </reference>
        </references>
      </pivotArea>
    </chartFormat>
    <chartFormat chart="0" format="13">
      <pivotArea type="data" outline="0" fieldPosition="0">
        <references count="2">
          <reference field="4294967294" count="1" selected="0">
            <x v="4"/>
          </reference>
          <reference field="0" count="1" selected="0">
            <x v="0"/>
          </reference>
        </references>
      </pivotArea>
    </chartFormat>
    <chartFormat chart="0" format="14">
      <pivotArea type="data" outline="0" fieldPosition="0">
        <references count="2">
          <reference field="4294967294" count="1" selected="0">
            <x v="4"/>
          </reference>
          <reference field="0" count="1" selected="0">
            <x v="1"/>
          </reference>
        </references>
      </pivotArea>
    </chartFormat>
    <chartFormat chart="5" format="30" series="1">
      <pivotArea type="data" outline="0" fieldPosition="0">
        <references count="1">
          <reference field="4294967294" count="1" selected="0">
            <x v="0"/>
          </reference>
        </references>
      </pivotArea>
    </chartFormat>
    <chartFormat chart="5" format="31">
      <pivotArea type="data" outline="0" fieldPosition="0">
        <references count="2">
          <reference field="4294967294" count="1" selected="0">
            <x v="0"/>
          </reference>
          <reference field="0" count="1" selected="0">
            <x v="0"/>
          </reference>
        </references>
      </pivotArea>
    </chartFormat>
    <chartFormat chart="5" format="32">
      <pivotArea type="data" outline="0" fieldPosition="0">
        <references count="2">
          <reference field="4294967294" count="1" selected="0">
            <x v="0"/>
          </reference>
          <reference field="0" count="1" selected="0">
            <x v="1"/>
          </reference>
        </references>
      </pivotArea>
    </chartFormat>
    <chartFormat chart="5" format="33" series="1">
      <pivotArea type="data" outline="0" fieldPosition="0">
        <references count="1">
          <reference field="4294967294" count="1" selected="0">
            <x v="1"/>
          </reference>
        </references>
      </pivotArea>
    </chartFormat>
    <chartFormat chart="5" format="34">
      <pivotArea type="data" outline="0" fieldPosition="0">
        <references count="2">
          <reference field="4294967294" count="1" selected="0">
            <x v="1"/>
          </reference>
          <reference field="0" count="1" selected="0">
            <x v="0"/>
          </reference>
        </references>
      </pivotArea>
    </chartFormat>
    <chartFormat chart="5" format="35">
      <pivotArea type="data" outline="0" fieldPosition="0">
        <references count="2">
          <reference field="4294967294" count="1" selected="0">
            <x v="1"/>
          </reference>
          <reference field="0" count="1" selected="0">
            <x v="1"/>
          </reference>
        </references>
      </pivotArea>
    </chartFormat>
    <chartFormat chart="5" format="36" series="1">
      <pivotArea type="data" outline="0" fieldPosition="0">
        <references count="1">
          <reference field="4294967294" count="1" selected="0">
            <x v="2"/>
          </reference>
        </references>
      </pivotArea>
    </chartFormat>
    <chartFormat chart="5" format="37">
      <pivotArea type="data" outline="0" fieldPosition="0">
        <references count="2">
          <reference field="4294967294" count="1" selected="0">
            <x v="2"/>
          </reference>
          <reference field="0" count="1" selected="0">
            <x v="0"/>
          </reference>
        </references>
      </pivotArea>
    </chartFormat>
    <chartFormat chart="5" format="38">
      <pivotArea type="data" outline="0" fieldPosition="0">
        <references count="2">
          <reference field="4294967294" count="1" selected="0">
            <x v="2"/>
          </reference>
          <reference field="0" count="1" selected="0">
            <x v="1"/>
          </reference>
        </references>
      </pivotArea>
    </chartFormat>
    <chartFormat chart="5" format="39" series="1">
      <pivotArea type="data" outline="0" fieldPosition="0">
        <references count="1">
          <reference field="4294967294" count="1" selected="0">
            <x v="3"/>
          </reference>
        </references>
      </pivotArea>
    </chartFormat>
    <chartFormat chart="5" format="40">
      <pivotArea type="data" outline="0" fieldPosition="0">
        <references count="2">
          <reference field="4294967294" count="1" selected="0">
            <x v="3"/>
          </reference>
          <reference field="0" count="1" selected="0">
            <x v="0"/>
          </reference>
        </references>
      </pivotArea>
    </chartFormat>
    <chartFormat chart="5" format="41">
      <pivotArea type="data" outline="0" fieldPosition="0">
        <references count="2">
          <reference field="4294967294" count="1" selected="0">
            <x v="3"/>
          </reference>
          <reference field="0" count="1" selected="0">
            <x v="1"/>
          </reference>
        </references>
      </pivotArea>
    </chartFormat>
    <chartFormat chart="5" format="42" series="1">
      <pivotArea type="data" outline="0" fieldPosition="0">
        <references count="1">
          <reference field="4294967294" count="1" selected="0">
            <x v="4"/>
          </reference>
        </references>
      </pivotArea>
    </chartFormat>
    <chartFormat chart="5" format="43">
      <pivotArea type="data" outline="0" fieldPosition="0">
        <references count="2">
          <reference field="4294967294" count="1" selected="0">
            <x v="4"/>
          </reference>
          <reference field="0" count="1" selected="0">
            <x v="0"/>
          </reference>
        </references>
      </pivotArea>
    </chartFormat>
    <chartFormat chart="5" format="44">
      <pivotArea type="data" outline="0" fieldPosition="0">
        <references count="2">
          <reference field="4294967294" count="1" selected="0">
            <x v="4"/>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E3DFCF-ECE0-4B17-B94A-66BD9B08A03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H4" firstHeaderRow="0" firstDataRow="1" firstDataCol="0"/>
  <pivotFields count="8">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s>
  <rowItems count="1">
    <i/>
  </rowItems>
  <colFields count="1">
    <field x="-2"/>
  </colFields>
  <colItems count="8">
    <i>
      <x/>
    </i>
    <i i="1">
      <x v="1"/>
    </i>
    <i i="2">
      <x v="2"/>
    </i>
    <i i="3">
      <x v="3"/>
    </i>
    <i i="4">
      <x v="4"/>
    </i>
    <i i="5">
      <x v="5"/>
    </i>
    <i i="6">
      <x v="6"/>
    </i>
    <i i="7">
      <x v="7"/>
    </i>
  </colItems>
  <dataFields count="8">
    <dataField name="Sum of English" fld="0" baseField="0" baseItem="0" numFmtId="164"/>
    <dataField name="Sum of Urdu" fld="1" baseField="0" baseItem="0" numFmtId="164"/>
    <dataField name="Sum of Maths" fld="2" baseField="0" baseItem="0" numFmtId="164"/>
    <dataField name="Sum of Science" fld="3" baseField="0" baseItem="0" numFmtId="164"/>
    <dataField name="Sum of Islamyat" fld="4" baseField="0" baseItem="0" numFmtId="164"/>
    <dataField name="Sum of Eng Test" fld="5" baseField="0" baseItem="0" numFmtId="164"/>
    <dataField name="Sum of Urdu Test" fld="6" baseField="0" baseItem="0" numFmtId="164"/>
    <dataField name="Sum of Nazira" fld="7" baseField="0" baseItem="0" numFmtId="164"/>
  </dataFields>
  <formats count="3">
    <format dxfId="20">
      <pivotArea outline="0" collapsedLevelsAreSubtotals="1" fieldPosition="0">
        <references count="1">
          <reference field="4294967294" count="1" selected="0">
            <x v="1"/>
          </reference>
        </references>
      </pivotArea>
    </format>
    <format dxfId="19">
      <pivotArea outline="0" collapsedLevelsAreSubtotals="1" fieldPosition="0"/>
    </format>
    <format dxfId="18">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6" format="16"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1"/>
          </reference>
        </references>
      </pivotArea>
    </chartFormat>
    <chartFormat chart="6" format="18" series="1">
      <pivotArea type="data" outline="0" fieldPosition="0">
        <references count="1">
          <reference field="4294967294" count="1" selected="0">
            <x v="2"/>
          </reference>
        </references>
      </pivotArea>
    </chartFormat>
    <chartFormat chart="6" format="19" series="1">
      <pivotArea type="data" outline="0" fieldPosition="0">
        <references count="1">
          <reference field="4294967294" count="1" selected="0">
            <x v="3"/>
          </reference>
        </references>
      </pivotArea>
    </chartFormat>
    <chartFormat chart="6" format="20" series="1">
      <pivotArea type="data" outline="0" fieldPosition="0">
        <references count="1">
          <reference field="4294967294" count="1" selected="0">
            <x v="4"/>
          </reference>
        </references>
      </pivotArea>
    </chartFormat>
    <chartFormat chart="6" format="21" series="1">
      <pivotArea type="data" outline="0" fieldPosition="0">
        <references count="1">
          <reference field="4294967294" count="1" selected="0">
            <x v="5"/>
          </reference>
        </references>
      </pivotArea>
    </chartFormat>
    <chartFormat chart="6" format="22" series="1">
      <pivotArea type="data" outline="0" fieldPosition="0">
        <references count="1">
          <reference field="4294967294" count="1" selected="0">
            <x v="6"/>
          </reference>
        </references>
      </pivotArea>
    </chartFormat>
    <chartFormat chart="6" format="23"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5D55ED-EA79-467D-9293-9E9015553BD4}" name="Table1" displayName="Table1" ref="B1:R29" totalsRowShown="0" headerRowDxfId="57" dataDxfId="56" tableBorderDxfId="55">
  <autoFilter ref="B1:R29" xr:uid="{165D55ED-EA79-467D-9293-9E9015553BD4}"/>
  <tableColumns count="17">
    <tableColumn id="2" xr3:uid="{E92DADA3-98F3-4A24-A85B-D9DFA3C03968}" name="Name" dataDxfId="54" totalsRowDxfId="53"/>
    <tableColumn id="3" xr3:uid="{95DEA12C-0D9A-4E85-A541-1A1F296E177D}" name="Rol No" dataDxfId="52" totalsRowDxfId="51"/>
    <tableColumn id="4" xr3:uid="{5F04BF7D-6550-4DF6-A186-0FBB769FB7AC}" name="English" dataDxfId="50" totalsRowDxfId="49"/>
    <tableColumn id="5" xr3:uid="{4A25090F-4DBD-484E-BE5B-376C33424443}" name="Urdu" dataDxfId="48" totalsRowDxfId="47"/>
    <tableColumn id="6" xr3:uid="{D852C292-9EC4-4ADA-A32E-08930839AB32}" name="Maths" dataDxfId="46" totalsRowDxfId="45"/>
    <tableColumn id="7" xr3:uid="{739F7FBD-44B6-4851-9CA7-B37F0C96DBED}" name="Science" dataDxfId="44" totalsRowDxfId="43"/>
    <tableColumn id="8" xr3:uid="{20421992-97F6-401C-AC5E-12EA9BDB33DD}" name="Islamyat" dataDxfId="42" totalsRowDxfId="41"/>
    <tableColumn id="9" xr3:uid="{B8E9DEB2-1B32-41F6-804E-9F6D96A7A5A7}" name="Eng Test" dataDxfId="40" totalsRowDxfId="39"/>
    <tableColumn id="10" xr3:uid="{3D69F5FC-1C02-4307-83DE-A8CAEE9B9225}" name="Urdu Test" dataDxfId="38" totalsRowDxfId="37"/>
    <tableColumn id="11" xr3:uid="{4BA0C436-6E4F-4E20-B630-06777AE3A437}" name="Nazira" dataDxfId="36" totalsRowDxfId="35"/>
    <tableColumn id="12" xr3:uid="{099EEF0F-F03B-4BAC-8CF0-12DE5249B3C2}" name="Total" dataDxfId="34" totalsRowDxfId="33"/>
    <tableColumn id="14" xr3:uid="{B7ABB762-3F46-4814-B30E-F02C3FCF6A2C}" name="Name for Rank" dataDxfId="32" totalsRowDxfId="31"/>
    <tableColumn id="15" xr3:uid="{290B6AE9-6633-4466-B257-B2B332FDA850}" name="Rank" dataDxfId="30" totalsRowDxfId="29"/>
    <tableColumn id="17" xr3:uid="{A32169E5-A75A-47E1-841A-D13E5AA61390}" name="Percentage" dataDxfId="28" totalsRowDxfId="27"/>
    <tableColumn id="20" xr3:uid="{DF71A433-AE92-45F4-AC66-AB92FDAB5E82}" name="Grade" dataDxfId="26" totalsRowDxfId="25" dataCellStyle="Percent" totalsRowCellStyle="Percent"/>
    <tableColumn id="18" xr3:uid="{D51DDBE3-6A1D-4DB6-93BC-DC5309B29CB8}" name="Performance" dataDxfId="24" totalsRowDxfId="23"/>
    <tableColumn id="19" xr3:uid="{531C4715-3C1A-4037-AC49-97D5DB0533F3}" name="Status" dataDxfId="22" totalsRowDxf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1F63D-7FD2-42E0-BC16-F9A14B19A638}">
  <dimension ref="A1:T19"/>
  <sheetViews>
    <sheetView tabSelected="1" workbookViewId="0">
      <selection activeCell="M9" sqref="M9:T18"/>
    </sheetView>
  </sheetViews>
  <sheetFormatPr defaultRowHeight="15" x14ac:dyDescent="0.25"/>
  <cols>
    <col min="11" max="11" width="3.28515625" customWidth="1"/>
  </cols>
  <sheetData>
    <row r="1" spans="1:20" ht="16.5" thickTop="1" thickBot="1" x14ac:dyDescent="0.3">
      <c r="A1" s="62" t="s">
        <v>88</v>
      </c>
      <c r="B1" s="62"/>
      <c r="C1" s="62"/>
      <c r="D1" s="62"/>
      <c r="F1" s="62" t="s">
        <v>92</v>
      </c>
      <c r="G1" s="62"/>
      <c r="H1" s="62"/>
      <c r="I1" s="62"/>
      <c r="K1" s="62" t="s">
        <v>89</v>
      </c>
      <c r="L1" s="62"/>
      <c r="M1" s="62"/>
      <c r="N1" s="62"/>
    </row>
    <row r="2" spans="1:20" ht="16.5" thickTop="1" thickBot="1" x14ac:dyDescent="0.3">
      <c r="A2" s="62"/>
      <c r="B2" s="62"/>
      <c r="C2" s="62"/>
      <c r="D2" s="62"/>
      <c r="F2" s="62"/>
      <c r="G2" s="62"/>
      <c r="H2" s="62"/>
      <c r="I2" s="62"/>
      <c r="K2" s="62"/>
      <c r="L2" s="62"/>
      <c r="M2" s="62"/>
      <c r="N2" s="62"/>
    </row>
    <row r="3" spans="1:20" ht="16.5" thickTop="1" thickBot="1" x14ac:dyDescent="0.3">
      <c r="A3" s="60" t="s">
        <v>85</v>
      </c>
      <c r="B3" s="61"/>
      <c r="C3" s="61"/>
      <c r="D3" s="61"/>
      <c r="F3" s="63" t="s">
        <v>87</v>
      </c>
      <c r="G3" s="63"/>
      <c r="H3" s="63"/>
      <c r="I3" s="63"/>
      <c r="K3" s="63" t="s">
        <v>87</v>
      </c>
      <c r="L3" s="63"/>
      <c r="M3" s="63"/>
      <c r="N3" s="63"/>
    </row>
    <row r="4" spans="1:20" ht="16.5" thickTop="1" thickBot="1" x14ac:dyDescent="0.3">
      <c r="A4" s="61"/>
      <c r="B4" s="61"/>
      <c r="C4" s="61"/>
      <c r="D4" s="61"/>
      <c r="F4" s="63"/>
      <c r="G4" s="63"/>
      <c r="H4" s="63"/>
      <c r="I4" s="63"/>
      <c r="K4" s="63"/>
      <c r="L4" s="63"/>
      <c r="M4" s="63"/>
      <c r="N4" s="63"/>
    </row>
    <row r="5" spans="1:20" ht="16.5" thickTop="1" thickBot="1" x14ac:dyDescent="0.3">
      <c r="A5" s="61"/>
      <c r="B5" s="61"/>
      <c r="C5" s="61"/>
      <c r="D5" s="61"/>
      <c r="F5" s="63"/>
      <c r="G5" s="63"/>
      <c r="H5" s="63"/>
      <c r="I5" s="63"/>
      <c r="K5" s="63"/>
      <c r="L5" s="63"/>
      <c r="M5" s="63"/>
      <c r="N5" s="63"/>
    </row>
    <row r="6" spans="1:20" ht="16.5" thickTop="1" thickBot="1" x14ac:dyDescent="0.3">
      <c r="A6" s="61"/>
      <c r="B6" s="61"/>
      <c r="C6" s="61"/>
      <c r="D6" s="61"/>
      <c r="F6" s="63"/>
      <c r="G6" s="63"/>
      <c r="H6" s="63"/>
      <c r="I6" s="63"/>
      <c r="K6" s="63"/>
      <c r="L6" s="63"/>
      <c r="M6" s="63"/>
      <c r="N6" s="63"/>
    </row>
    <row r="7" spans="1:20" ht="15.75" thickTop="1" x14ac:dyDescent="0.25"/>
    <row r="8" spans="1:20" ht="15.75" thickBot="1" x14ac:dyDescent="0.3"/>
    <row r="9" spans="1:20" ht="16.5" thickTop="1" thickBot="1" x14ac:dyDescent="0.3">
      <c r="B9" s="62" t="s">
        <v>90</v>
      </c>
      <c r="C9" s="62"/>
      <c r="D9" s="62"/>
      <c r="E9" s="62"/>
      <c r="G9" s="62" t="s">
        <v>91</v>
      </c>
      <c r="H9" s="62"/>
      <c r="I9" s="62"/>
      <c r="J9" s="62"/>
      <c r="M9" s="65" t="s">
        <v>93</v>
      </c>
      <c r="N9" s="66"/>
      <c r="O9" s="66"/>
      <c r="P9" s="66"/>
      <c r="Q9" s="66"/>
      <c r="R9" s="66"/>
      <c r="S9" s="66"/>
      <c r="T9" s="66"/>
    </row>
    <row r="10" spans="1:20" ht="16.5" thickTop="1" thickBot="1" x14ac:dyDescent="0.3">
      <c r="B10" s="62"/>
      <c r="C10" s="62"/>
      <c r="D10" s="62"/>
      <c r="E10" s="62"/>
      <c r="G10" s="62"/>
      <c r="H10" s="62"/>
      <c r="I10" s="62"/>
      <c r="J10" s="62"/>
      <c r="M10" s="66"/>
      <c r="N10" s="66"/>
      <c r="O10" s="66"/>
      <c r="P10" s="66"/>
      <c r="Q10" s="66"/>
      <c r="R10" s="66"/>
      <c r="S10" s="66"/>
      <c r="T10" s="66"/>
    </row>
    <row r="11" spans="1:20" ht="16.5" thickTop="1" thickBot="1" x14ac:dyDescent="0.3">
      <c r="B11" s="64" t="s">
        <v>87</v>
      </c>
      <c r="C11" s="64"/>
      <c r="D11" s="64"/>
      <c r="E11" s="64"/>
      <c r="G11" s="63" t="s">
        <v>87</v>
      </c>
      <c r="H11" s="63"/>
      <c r="I11" s="63"/>
      <c r="J11" s="63"/>
      <c r="M11" s="66"/>
      <c r="N11" s="66"/>
      <c r="O11" s="66"/>
      <c r="P11" s="66"/>
      <c r="Q11" s="66"/>
      <c r="R11" s="66"/>
      <c r="S11" s="66"/>
      <c r="T11" s="66"/>
    </row>
    <row r="12" spans="1:20" ht="16.5" thickTop="1" thickBot="1" x14ac:dyDescent="0.3">
      <c r="B12" s="64"/>
      <c r="C12" s="64"/>
      <c r="D12" s="64"/>
      <c r="E12" s="64"/>
      <c r="G12" s="63"/>
      <c r="H12" s="63"/>
      <c r="I12" s="63"/>
      <c r="J12" s="63"/>
      <c r="M12" s="66"/>
      <c r="N12" s="66"/>
      <c r="O12" s="66"/>
      <c r="P12" s="66"/>
      <c r="Q12" s="66"/>
      <c r="R12" s="66"/>
      <c r="S12" s="66"/>
      <c r="T12" s="66"/>
    </row>
    <row r="13" spans="1:20" ht="16.5" thickTop="1" thickBot="1" x14ac:dyDescent="0.3">
      <c r="B13" s="64"/>
      <c r="C13" s="64"/>
      <c r="D13" s="64"/>
      <c r="E13" s="64"/>
      <c r="G13" s="63"/>
      <c r="H13" s="63"/>
      <c r="I13" s="63"/>
      <c r="J13" s="63"/>
      <c r="M13" s="66"/>
      <c r="N13" s="66"/>
      <c r="O13" s="66"/>
      <c r="P13" s="66"/>
      <c r="Q13" s="66"/>
      <c r="R13" s="66"/>
      <c r="S13" s="66"/>
      <c r="T13" s="66"/>
    </row>
    <row r="14" spans="1:20" ht="16.5" thickTop="1" thickBot="1" x14ac:dyDescent="0.3">
      <c r="B14" s="64"/>
      <c r="C14" s="64"/>
      <c r="D14" s="64"/>
      <c r="E14" s="64"/>
      <c r="G14" s="63"/>
      <c r="H14" s="63"/>
      <c r="I14" s="63"/>
      <c r="J14" s="63"/>
      <c r="M14" s="66"/>
      <c r="N14" s="66"/>
      <c r="O14" s="66"/>
      <c r="P14" s="66"/>
      <c r="Q14" s="66"/>
      <c r="R14" s="66"/>
      <c r="S14" s="66"/>
      <c r="T14" s="66"/>
    </row>
    <row r="15" spans="1:20" ht="16.5" thickTop="1" thickBot="1" x14ac:dyDescent="0.3">
      <c r="M15" s="66"/>
      <c r="N15" s="66"/>
      <c r="O15" s="66"/>
      <c r="P15" s="66"/>
      <c r="Q15" s="66"/>
      <c r="R15" s="66"/>
      <c r="S15" s="66"/>
      <c r="T15" s="66"/>
    </row>
    <row r="16" spans="1:20" ht="16.5" thickTop="1" thickBot="1" x14ac:dyDescent="0.3">
      <c r="M16" s="66"/>
      <c r="N16" s="66"/>
      <c r="O16" s="66"/>
      <c r="P16" s="66"/>
      <c r="Q16" s="66"/>
      <c r="R16" s="66"/>
      <c r="S16" s="66"/>
      <c r="T16" s="66"/>
    </row>
    <row r="17" spans="13:20" ht="16.5" thickTop="1" thickBot="1" x14ac:dyDescent="0.3">
      <c r="M17" s="66"/>
      <c r="N17" s="66"/>
      <c r="O17" s="66"/>
      <c r="P17" s="66"/>
      <c r="Q17" s="66"/>
      <c r="R17" s="66"/>
      <c r="S17" s="66"/>
      <c r="T17" s="66"/>
    </row>
    <row r="18" spans="13:20" ht="16.5" thickTop="1" thickBot="1" x14ac:dyDescent="0.3">
      <c r="M18" s="66"/>
      <c r="N18" s="66"/>
      <c r="O18" s="66"/>
      <c r="P18" s="66"/>
      <c r="Q18" s="66"/>
      <c r="R18" s="66"/>
      <c r="S18" s="66"/>
      <c r="T18" s="66"/>
    </row>
    <row r="19" spans="13:20" ht="15.75" thickTop="1" x14ac:dyDescent="0.25"/>
  </sheetData>
  <mergeCells count="11">
    <mergeCell ref="B9:E10"/>
    <mergeCell ref="B11:E14"/>
    <mergeCell ref="G9:J10"/>
    <mergeCell ref="G11:J14"/>
    <mergeCell ref="M9:T18"/>
    <mergeCell ref="A3:D6"/>
    <mergeCell ref="A1:D2"/>
    <mergeCell ref="F1:I2"/>
    <mergeCell ref="F3:I6"/>
    <mergeCell ref="K1:N2"/>
    <mergeCell ref="K3:N6"/>
  </mergeCells>
  <hyperlinks>
    <hyperlink ref="A3:D6" location="'Raw Data'!A1" display="'Raw Data'!A1" xr:uid="{D10E65B9-58C3-4CF6-B269-1E39B7DF930E}"/>
    <hyperlink ref="F3:I6" location="' Class Metrics '!A1" display="Click Here" xr:uid="{99696D44-3089-4FB6-8511-50B55347869A}"/>
    <hyperlink ref="K3:N6" location="'Marks analysis'!A1" display="Click Here" xr:uid="{DD9A425A-F79D-43EB-A0DF-4E3D724CEBB7}"/>
    <hyperlink ref="G11:J14" location="'Marks analysis'!A1" display="Click Here" xr:uid="{EF7C9F17-41BE-43C4-94A6-9266E3760F5C}"/>
    <hyperlink ref="B11:E14" location="'Subject Average'!A1" display="Click Here" xr:uid="{E58D10C0-0C5B-4E54-BF2D-21F9CA5D04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zoomScale="76" zoomScaleNormal="69" workbookViewId="0">
      <selection activeCell="A6" sqref="A6"/>
    </sheetView>
  </sheetViews>
  <sheetFormatPr defaultRowHeight="15" x14ac:dyDescent="0.25"/>
  <cols>
    <col min="1" max="1" width="5.7109375" customWidth="1"/>
    <col min="2" max="2" width="11.85546875" bestFit="1" customWidth="1"/>
    <col min="3" max="3" width="11" customWidth="1"/>
    <col min="4" max="4" width="13.28515625" bestFit="1" customWidth="1"/>
    <col min="5" max="5" width="11.5703125" bestFit="1" customWidth="1"/>
    <col min="6" max="6" width="12.7109375" bestFit="1" customWidth="1"/>
    <col min="7" max="7" width="16.85546875" customWidth="1"/>
    <col min="8" max="8" width="14.42578125" bestFit="1" customWidth="1"/>
    <col min="9" max="9" width="14.28515625" bestFit="1" customWidth="1"/>
    <col min="10" max="10" width="11" customWidth="1"/>
    <col min="11" max="11" width="12.5703125" bestFit="1" customWidth="1"/>
    <col min="12" max="12" width="18.140625" style="6" customWidth="1"/>
    <col min="13" max="13" width="19.7109375" style="2" bestFit="1" customWidth="1"/>
    <col min="14" max="14" width="9.85546875" bestFit="1" customWidth="1"/>
    <col min="15" max="15" width="17.28515625" bestFit="1" customWidth="1"/>
    <col min="16" max="16" width="12.5703125" bestFit="1" customWidth="1"/>
    <col min="17" max="17" width="19.7109375" bestFit="1" customWidth="1"/>
    <col min="18" max="18" width="12.5703125" bestFit="1" customWidth="1"/>
    <col min="20" max="20" width="31.140625" bestFit="1" customWidth="1"/>
  </cols>
  <sheetData>
    <row r="1" spans="1:18" x14ac:dyDescent="0.25">
      <c r="A1" s="5" t="s">
        <v>37</v>
      </c>
      <c r="B1" s="3" t="s">
        <v>30</v>
      </c>
      <c r="C1" s="3" t="s">
        <v>39</v>
      </c>
      <c r="D1" s="3" t="s">
        <v>40</v>
      </c>
      <c r="E1" s="3" t="s">
        <v>41</v>
      </c>
      <c r="F1" s="3" t="s">
        <v>38</v>
      </c>
      <c r="G1" s="3" t="s">
        <v>42</v>
      </c>
      <c r="H1" s="3" t="s">
        <v>43</v>
      </c>
      <c r="I1" s="3" t="s">
        <v>0</v>
      </c>
      <c r="J1" s="3" t="s">
        <v>44</v>
      </c>
      <c r="K1" s="3" t="s">
        <v>1</v>
      </c>
      <c r="L1" s="3" t="s">
        <v>29</v>
      </c>
      <c r="M1" s="4" t="s">
        <v>45</v>
      </c>
      <c r="N1" s="3" t="s">
        <v>32</v>
      </c>
      <c r="O1" s="3" t="s">
        <v>36</v>
      </c>
      <c r="P1" s="3" t="s">
        <v>34</v>
      </c>
      <c r="Q1" s="12" t="s">
        <v>35</v>
      </c>
      <c r="R1" s="3" t="s">
        <v>33</v>
      </c>
    </row>
    <row r="2" spans="1:18" x14ac:dyDescent="0.25">
      <c r="A2" s="7">
        <v>1</v>
      </c>
      <c r="B2" s="9" t="s">
        <v>7</v>
      </c>
      <c r="C2" s="8">
        <v>301</v>
      </c>
      <c r="D2" s="13">
        <v>100</v>
      </c>
      <c r="E2" s="13">
        <v>100</v>
      </c>
      <c r="F2" s="13">
        <v>98</v>
      </c>
      <c r="G2" s="13">
        <v>100</v>
      </c>
      <c r="H2" s="13">
        <v>98</v>
      </c>
      <c r="I2" s="13">
        <v>100</v>
      </c>
      <c r="J2" s="13">
        <v>96</v>
      </c>
      <c r="K2" s="13">
        <v>30</v>
      </c>
      <c r="L2" s="10">
        <f>SUM(D2:K2)</f>
        <v>722</v>
      </c>
      <c r="M2" s="2" t="str">
        <f>_xlfn.XLOOKUP(N2, N2:N29, B2:B29)</f>
        <v>Amir Nazir</v>
      </c>
      <c r="N2" s="2">
        <f t="shared" ref="N2:N29" si="0">_xlfn.RANK.EQ(L2,$L$2:$L$29)</f>
        <v>1</v>
      </c>
      <c r="O2" s="11">
        <f>Table1[[#This Row],[Total]]/750</f>
        <v>0.96266666666666667</v>
      </c>
      <c r="P2" s="11" t="str" cm="1">
        <f t="array" ref="P2">_xlfn.IFS(Q2="Excellent","A",Q2="Very Good","B",Q2="Good","C",Q2="Satisfactory","D",Q2="Needs Improvement","F",Q2="Poor","F",Q2="Absent","Absent")</f>
        <v>A</v>
      </c>
      <c r="Q2" s="1" t="str" cm="1">
        <f t="array" ref="Q2">_xlfn.IFS(Table1[[#This Row],[Percentage]]&gt;=90%,"Excellent",Table1[[#This Row],[Percentage]]&gt;=80%,"Very Good",Table1[[#This Row],[Percentage]]&gt;=70%,"Good",Table1[[#This Row],[Percentage]]&gt;=60%,"Satisfactory",Table1[[#This Row],[Percentage]]&gt;33%,"Needs Improvement",Table1[[#This Row],[Percentage]]&lt;33%,"Poor")</f>
        <v>Excellent</v>
      </c>
      <c r="R2" s="2" t="str">
        <f>IF(Table1[[#This Row],[Percentage]]&gt;=35%,"Pass","Fail")</f>
        <v>Pass</v>
      </c>
    </row>
    <row r="3" spans="1:18" x14ac:dyDescent="0.25">
      <c r="A3" s="7">
        <v>2</v>
      </c>
      <c r="B3" s="9" t="s">
        <v>2</v>
      </c>
      <c r="C3" s="8">
        <v>302</v>
      </c>
      <c r="D3" s="13">
        <v>57</v>
      </c>
      <c r="E3" s="13">
        <v>33</v>
      </c>
      <c r="F3" s="13">
        <v>60</v>
      </c>
      <c r="G3" s="13">
        <v>60</v>
      </c>
      <c r="H3" s="13">
        <v>33</v>
      </c>
      <c r="I3" s="13">
        <v>33</v>
      </c>
      <c r="J3" s="13">
        <v>33</v>
      </c>
      <c r="K3" s="13">
        <v>50</v>
      </c>
      <c r="L3" s="10">
        <f t="shared" ref="L3:L29" si="1">SUM(D3:K3)</f>
        <v>359</v>
      </c>
      <c r="M3" s="2" t="str">
        <f t="shared" ref="M3" si="2">_xlfn.XLOOKUP(N3, N3:N28, B3:B28)</f>
        <v>Sudais</v>
      </c>
      <c r="N3" s="2">
        <f t="shared" si="0"/>
        <v>20</v>
      </c>
      <c r="O3" s="11">
        <f>Table1[[#This Row],[Total]]/750</f>
        <v>0.47866666666666668</v>
      </c>
      <c r="P3" s="11" t="str" cm="1">
        <f t="array" ref="P3">_xlfn.IFS(Q3="Excellent","A",Q3="Very Good","B",Q3="Good","C",Q3="Satisfactory","D",Q3="Needs Improvement","F",Q3="Poor","F",Q3="Absent","Absent")</f>
        <v>F</v>
      </c>
      <c r="Q3" s="1" t="str" cm="1">
        <f t="array" ref="Q3">_xlfn.IFS(Table1[[#This Row],[Percentage]]&gt;=90%,"Excellent",Table1[[#This Row],[Percentage]]&gt;=80%,"Very Good",Table1[[#This Row],[Percentage]]&gt;=70%,"Good",Table1[[#This Row],[Percentage]]&gt;=60%,"Satisfactory",Table1[[#This Row],[Percentage]]&gt;33%,"Needs Improvement",Table1[[#This Row],[Percentage]]&lt;33%,"Poor")</f>
        <v>Needs Improvement</v>
      </c>
      <c r="R3" s="2" t="str">
        <f>IF(Table1[[#This Row],[Percentage]]&gt;=35%,"Pass","Fail")</f>
        <v>Pass</v>
      </c>
    </row>
    <row r="4" spans="1:18" x14ac:dyDescent="0.25">
      <c r="A4" s="7">
        <v>3</v>
      </c>
      <c r="B4" s="9" t="s">
        <v>3</v>
      </c>
      <c r="C4" s="8">
        <v>303</v>
      </c>
      <c r="D4" s="13">
        <v>33</v>
      </c>
      <c r="E4" s="13">
        <v>33</v>
      </c>
      <c r="F4" s="13">
        <v>33</v>
      </c>
      <c r="G4" s="13">
        <v>33</v>
      </c>
      <c r="H4" s="13">
        <v>33</v>
      </c>
      <c r="I4" s="13">
        <v>33</v>
      </c>
      <c r="J4" s="13">
        <v>40</v>
      </c>
      <c r="K4" s="13">
        <v>50</v>
      </c>
      <c r="L4" s="10">
        <f t="shared" si="1"/>
        <v>288</v>
      </c>
      <c r="M4" s="2" t="str">
        <f t="shared" ref="M4" si="3">_xlfn.XLOOKUP(N4, N4:N28, B4:B28)</f>
        <v>Talha</v>
      </c>
      <c r="N4" s="2">
        <f t="shared" si="0"/>
        <v>27</v>
      </c>
      <c r="O4" s="11">
        <f>Table1[[#This Row],[Total]]/750</f>
        <v>0.38400000000000001</v>
      </c>
      <c r="P4" s="11" t="str" cm="1">
        <f t="array" ref="P4">_xlfn.IFS(Q4="Excellent","A",Q4="Very Good","B",Q4="Good","C",Q4="Satisfactory","D",Q4="Needs Improvement","F",Q4="Poor","F",Q4="Absent","Absent")</f>
        <v>F</v>
      </c>
      <c r="Q4" s="1" t="str" cm="1">
        <f t="array" ref="Q4">_xlfn.IFS(Table1[[#This Row],[Percentage]]&gt;=90%,"Excellent",Table1[[#This Row],[Percentage]]&gt;=80%,"Very Good",Table1[[#This Row],[Percentage]]&gt;=70%,"Good",Table1[[#This Row],[Percentage]]&gt;=60%,"Satisfactory",Table1[[#This Row],[Percentage]]&gt;33%,"Needs Improvement",Table1[[#This Row],[Percentage]]&lt;33%,"Poor")</f>
        <v>Needs Improvement</v>
      </c>
      <c r="R4" s="2" t="str">
        <f>IF(Table1[[#This Row],[Percentage]]&gt;=35%,"Pass","Fail")</f>
        <v>Pass</v>
      </c>
    </row>
    <row r="5" spans="1:18" x14ac:dyDescent="0.25">
      <c r="A5" s="7">
        <v>4</v>
      </c>
      <c r="B5" s="9" t="s">
        <v>4</v>
      </c>
      <c r="C5" s="8">
        <v>304</v>
      </c>
      <c r="D5" s="13">
        <v>100</v>
      </c>
      <c r="E5" s="13">
        <v>90</v>
      </c>
      <c r="F5" s="13">
        <v>90</v>
      </c>
      <c r="G5" s="13">
        <v>70</v>
      </c>
      <c r="H5" s="13">
        <v>100</v>
      </c>
      <c r="I5" s="13">
        <v>88</v>
      </c>
      <c r="J5" s="13">
        <v>92</v>
      </c>
      <c r="K5" s="13">
        <v>50</v>
      </c>
      <c r="L5" s="10">
        <f t="shared" si="1"/>
        <v>680</v>
      </c>
      <c r="M5" s="2" t="str">
        <f t="shared" ref="M5:M29" si="4">_xlfn.XLOOKUP(N5, N5:N30, B5:B30)</f>
        <v>Abid</v>
      </c>
      <c r="N5" s="2">
        <f t="shared" si="0"/>
        <v>3</v>
      </c>
      <c r="O5" s="11">
        <f>Table1[[#This Row],[Total]]/750</f>
        <v>0.90666666666666662</v>
      </c>
      <c r="P5" s="11" t="str" cm="1">
        <f t="array" ref="P5">_xlfn.IFS(Q5="Excellent","A",Q5="Very Good","B",Q5="Good","C",Q5="Satisfactory","D",Q5="Needs Improvement","F",Q5="Poor","F",Q5="Absent","Absent")</f>
        <v>A</v>
      </c>
      <c r="Q5" s="1" t="str" cm="1">
        <f t="array" ref="Q5">_xlfn.IFS(Table1[[#This Row],[Percentage]]&gt;=90%,"Excellent",Table1[[#This Row],[Percentage]]&gt;=80%,"Very Good",Table1[[#This Row],[Percentage]]&gt;=70%,"Good",Table1[[#This Row],[Percentage]]&gt;=60%,"Satisfactory",Table1[[#This Row],[Percentage]]&gt;33%,"Needs Improvement",Table1[[#This Row],[Percentage]]&lt;33%,"Poor")</f>
        <v>Excellent</v>
      </c>
      <c r="R5" s="2" t="str">
        <f>IF(Table1[[#This Row],[Percentage]]&gt;=35%,"Pass","Fail")</f>
        <v>Pass</v>
      </c>
    </row>
    <row r="6" spans="1:18" x14ac:dyDescent="0.25">
      <c r="A6" s="7" t="s">
        <v>31</v>
      </c>
      <c r="B6" s="9" t="s">
        <v>8</v>
      </c>
      <c r="C6" s="8">
        <v>305</v>
      </c>
      <c r="D6" s="13">
        <v>33</v>
      </c>
      <c r="E6" s="13">
        <v>100</v>
      </c>
      <c r="F6" s="13">
        <v>90</v>
      </c>
      <c r="G6" s="13">
        <v>33</v>
      </c>
      <c r="H6" s="13" t="s">
        <v>31</v>
      </c>
      <c r="I6" s="13">
        <v>33</v>
      </c>
      <c r="J6" s="13">
        <v>60</v>
      </c>
      <c r="K6" s="13">
        <v>50</v>
      </c>
      <c r="L6" s="10">
        <f t="shared" si="1"/>
        <v>399</v>
      </c>
      <c r="M6" s="2" t="str">
        <f t="shared" si="4"/>
        <v>Rashid Ullah</v>
      </c>
      <c r="N6" s="2">
        <f t="shared" si="0"/>
        <v>15</v>
      </c>
      <c r="O6" s="11">
        <f>Table1[[#This Row],[Total]]/750</f>
        <v>0.53200000000000003</v>
      </c>
      <c r="P6" s="11" t="str" cm="1">
        <f t="array" ref="P6">_xlfn.IFS(Q6="Excellent","A",Q6="Very Good","B",Q6="Good","C",Q6="Satisfactory","D",Q6="Needs Improvement","F",Q6="Poor","F",Q6="Absent","Absent")</f>
        <v>F</v>
      </c>
      <c r="Q6" s="1" t="str" cm="1">
        <f t="array" ref="Q6">_xlfn.IFS(Table1[[#This Row],[Percentage]]&gt;=90%,"Excellent",Table1[[#This Row],[Percentage]]&gt;=80%,"Very Good",Table1[[#This Row],[Percentage]]&gt;=70%,"Good",Table1[[#This Row],[Percentage]]&gt;=60%,"Satisfactory",Table1[[#This Row],[Percentage]]&gt;33%,"Needs Improvement",Table1[[#This Row],[Percentage]]&lt;33%,"Poor")</f>
        <v>Needs Improvement</v>
      </c>
      <c r="R6" s="2" t="str">
        <f>IF(Table1[[#This Row],[Percentage]]&gt;=35%,"Pass","Fail")</f>
        <v>Pass</v>
      </c>
    </row>
    <row r="7" spans="1:18" x14ac:dyDescent="0.25">
      <c r="A7" s="7">
        <v>6</v>
      </c>
      <c r="B7" s="9" t="s">
        <v>5</v>
      </c>
      <c r="C7" s="8">
        <v>306</v>
      </c>
      <c r="D7" s="13">
        <v>91</v>
      </c>
      <c r="E7" s="13">
        <v>60</v>
      </c>
      <c r="F7" s="13">
        <v>100</v>
      </c>
      <c r="G7" s="13">
        <v>100</v>
      </c>
      <c r="H7" s="13">
        <v>96</v>
      </c>
      <c r="I7" s="13">
        <v>100</v>
      </c>
      <c r="J7" s="13">
        <v>96</v>
      </c>
      <c r="K7" s="13">
        <v>50</v>
      </c>
      <c r="L7" s="10">
        <f t="shared" si="1"/>
        <v>693</v>
      </c>
      <c r="M7" s="2" t="str">
        <f t="shared" si="4"/>
        <v>Touseef</v>
      </c>
      <c r="N7" s="2">
        <f t="shared" si="0"/>
        <v>2</v>
      </c>
      <c r="O7" s="11">
        <f>Table1[[#This Row],[Total]]/750</f>
        <v>0.92400000000000004</v>
      </c>
      <c r="P7" s="11" t="str" cm="1">
        <f t="array" ref="P7">_xlfn.IFS(Q7="Excellent","A",Q7="Very Good","B",Q7="Good","C",Q7="Satisfactory","D",Q7="Needs Improvement","F",Q7="Poor","F",Q7="Absent","Absent")</f>
        <v>A</v>
      </c>
      <c r="Q7" s="1" t="str" cm="1">
        <f t="array" ref="Q7">_xlfn.IFS(Table1[[#This Row],[Percentage]]&gt;=90%,"Excellent",Table1[[#This Row],[Percentage]]&gt;=80%,"Very Good",Table1[[#This Row],[Percentage]]&gt;=70%,"Good",Table1[[#This Row],[Percentage]]&gt;=60%,"Satisfactory",Table1[[#This Row],[Percentage]]&gt;33%,"Needs Improvement",Table1[[#This Row],[Percentage]]&lt;33%,"Poor")</f>
        <v>Excellent</v>
      </c>
      <c r="R7" s="2" t="str">
        <f>IF(Table1[[#This Row],[Percentage]]&gt;=35%,"Pass","Fail")</f>
        <v>Pass</v>
      </c>
    </row>
    <row r="8" spans="1:18" x14ac:dyDescent="0.25">
      <c r="A8" s="7">
        <v>7</v>
      </c>
      <c r="B8" s="9" t="s">
        <v>6</v>
      </c>
      <c r="C8" s="8">
        <v>307</v>
      </c>
      <c r="D8" s="13">
        <v>98</v>
      </c>
      <c r="E8" s="13">
        <v>33</v>
      </c>
      <c r="F8" s="13">
        <v>96</v>
      </c>
      <c r="G8" s="13">
        <v>96</v>
      </c>
      <c r="H8" s="13">
        <v>88</v>
      </c>
      <c r="I8" s="13">
        <v>72</v>
      </c>
      <c r="J8" s="13">
        <v>60</v>
      </c>
      <c r="K8" s="13">
        <v>50</v>
      </c>
      <c r="L8" s="10">
        <f t="shared" si="1"/>
        <v>593</v>
      </c>
      <c r="M8" s="2" t="str">
        <f t="shared" si="4"/>
        <v>Waqas</v>
      </c>
      <c r="N8" s="2">
        <f t="shared" si="0"/>
        <v>4</v>
      </c>
      <c r="O8" s="11">
        <f>Table1[[#This Row],[Total]]/750</f>
        <v>0.79066666666666663</v>
      </c>
      <c r="P8" s="11" t="str" cm="1">
        <f t="array" ref="P8">_xlfn.IFS(Q8="Excellent","A",Q8="Very Good","B",Q8="Good","C",Q8="Satisfactory","D",Q8="Needs Improvement","F",Q8="Poor","F",Q8="Absent","Absent")</f>
        <v>C</v>
      </c>
      <c r="Q8" s="1" t="str" cm="1">
        <f t="array" ref="Q8">_xlfn.IFS(Table1[[#This Row],[Percentage]]&gt;=90%,"Excellent",Table1[[#This Row],[Percentage]]&gt;=80%,"Very Good",Table1[[#This Row],[Percentage]]&gt;=70%,"Good",Table1[[#This Row],[Percentage]]&gt;=60%,"Satisfactory",Table1[[#This Row],[Percentage]]&gt;33%,"Needs Improvement",Table1[[#This Row],[Percentage]]&lt;33%,"Poor")</f>
        <v>Good</v>
      </c>
      <c r="R8" s="2" t="str">
        <f>IF(Table1[[#This Row],[Percentage]]&gt;=35%,"Pass","Fail")</f>
        <v>Pass</v>
      </c>
    </row>
    <row r="9" spans="1:18" x14ac:dyDescent="0.25">
      <c r="A9" s="7">
        <v>8</v>
      </c>
      <c r="B9" s="9" t="s">
        <v>9</v>
      </c>
      <c r="C9" s="8">
        <v>308</v>
      </c>
      <c r="D9" s="13">
        <v>65</v>
      </c>
      <c r="E9" s="13">
        <v>33</v>
      </c>
      <c r="F9" s="13">
        <v>34</v>
      </c>
      <c r="G9" s="13">
        <v>100</v>
      </c>
      <c r="H9" s="13">
        <v>44</v>
      </c>
      <c r="I9" s="13">
        <v>52</v>
      </c>
      <c r="J9" s="13">
        <v>92</v>
      </c>
      <c r="K9" s="13">
        <v>50</v>
      </c>
      <c r="L9" s="10">
        <f t="shared" si="1"/>
        <v>470</v>
      </c>
      <c r="M9" s="2" t="str">
        <f t="shared" si="4"/>
        <v>Afaq</v>
      </c>
      <c r="N9" s="2">
        <f t="shared" si="0"/>
        <v>8</v>
      </c>
      <c r="O9" s="11">
        <f>Table1[[#This Row],[Total]]/750</f>
        <v>0.62666666666666671</v>
      </c>
      <c r="P9" s="11" t="str" cm="1">
        <f t="array" ref="P9">_xlfn.IFS(Q9="Excellent","A",Q9="Very Good","B",Q9="Good","C",Q9="Satisfactory","D",Q9="Needs Improvement","F",Q9="Poor","F",Q9="Absent","Absent")</f>
        <v>D</v>
      </c>
      <c r="Q9" s="1" t="str" cm="1">
        <f t="array" ref="Q9">_xlfn.IFS(Table1[[#This Row],[Percentage]]&gt;=90%,"Excellent",Table1[[#This Row],[Percentage]]&gt;=80%,"Very Good",Table1[[#This Row],[Percentage]]&gt;=70%,"Good",Table1[[#This Row],[Percentage]]&gt;=60%,"Satisfactory",Table1[[#This Row],[Percentage]]&gt;33%,"Needs Improvement",Table1[[#This Row],[Percentage]]&lt;33%,"Poor")</f>
        <v>Satisfactory</v>
      </c>
      <c r="R9" s="2" t="str">
        <f>IF(Table1[[#This Row],[Percentage]]&gt;=35%,"Pass","Fail")</f>
        <v>Pass</v>
      </c>
    </row>
    <row r="10" spans="1:18" x14ac:dyDescent="0.25">
      <c r="A10" s="7">
        <v>9</v>
      </c>
      <c r="B10" s="9" t="s">
        <v>10</v>
      </c>
      <c r="C10" s="8">
        <v>309</v>
      </c>
      <c r="D10" s="13">
        <v>33</v>
      </c>
      <c r="E10" s="13">
        <v>33</v>
      </c>
      <c r="F10" s="13">
        <v>90</v>
      </c>
      <c r="G10" s="13">
        <v>100</v>
      </c>
      <c r="H10" s="13">
        <v>33</v>
      </c>
      <c r="I10" s="13">
        <v>80</v>
      </c>
      <c r="J10" s="13">
        <v>40</v>
      </c>
      <c r="K10" s="13">
        <v>50</v>
      </c>
      <c r="L10" s="10">
        <f t="shared" si="1"/>
        <v>459</v>
      </c>
      <c r="M10" s="2" t="str">
        <f t="shared" si="4"/>
        <v>Hesham</v>
      </c>
      <c r="N10" s="2">
        <f t="shared" si="0"/>
        <v>10</v>
      </c>
      <c r="O10" s="11">
        <f>Table1[[#This Row],[Total]]/750</f>
        <v>0.61199999999999999</v>
      </c>
      <c r="P10" s="11" t="str" cm="1">
        <f t="array" ref="P10">_xlfn.IFS(Q10="Excellent","A",Q10="Very Good","B",Q10="Good","C",Q10="Satisfactory","D",Q10="Needs Improvement","F",Q10="Poor","F",Q10="Absent","Absent")</f>
        <v>D</v>
      </c>
      <c r="Q10" s="1" t="str" cm="1">
        <f t="array" ref="Q10">_xlfn.IFS(Table1[[#This Row],[Percentage]]&gt;=90%,"Excellent",Table1[[#This Row],[Percentage]]&gt;=80%,"Very Good",Table1[[#This Row],[Percentage]]&gt;=70%,"Good",Table1[[#This Row],[Percentage]]&gt;=60%,"Satisfactory",Table1[[#This Row],[Percentage]]&gt;33%,"Needs Improvement",Table1[[#This Row],[Percentage]]&lt;33%,"Poor")</f>
        <v>Satisfactory</v>
      </c>
      <c r="R10" s="2" t="str">
        <f>IF(Table1[[#This Row],[Percentage]]&gt;=35%,"Pass","Fail")</f>
        <v>Pass</v>
      </c>
    </row>
    <row r="11" spans="1:18" x14ac:dyDescent="0.25">
      <c r="A11" s="7">
        <v>10</v>
      </c>
      <c r="B11" s="9" t="s">
        <v>11</v>
      </c>
      <c r="C11" s="8">
        <v>310</v>
      </c>
      <c r="D11" s="13">
        <v>33</v>
      </c>
      <c r="E11" s="13">
        <v>33</v>
      </c>
      <c r="F11" s="13">
        <v>90</v>
      </c>
      <c r="G11" s="13">
        <v>100</v>
      </c>
      <c r="H11" s="13">
        <v>33</v>
      </c>
      <c r="I11" s="13">
        <v>80</v>
      </c>
      <c r="J11" s="13">
        <v>64</v>
      </c>
      <c r="K11" s="13">
        <v>50</v>
      </c>
      <c r="L11" s="10">
        <f t="shared" si="1"/>
        <v>483</v>
      </c>
      <c r="M11" s="2" t="str">
        <f t="shared" si="4"/>
        <v>Salim</v>
      </c>
      <c r="N11" s="2">
        <f t="shared" si="0"/>
        <v>6</v>
      </c>
      <c r="O11" s="11">
        <f>Table1[[#This Row],[Total]]/750</f>
        <v>0.64400000000000002</v>
      </c>
      <c r="P11" s="11" t="str" cm="1">
        <f t="array" ref="P11">_xlfn.IFS(Q11="Excellent","A",Q11="Very Good","B",Q11="Good","C",Q11="Satisfactory","D",Q11="Needs Improvement","F",Q11="Poor","F",Q11="Absent","Absent")</f>
        <v>D</v>
      </c>
      <c r="Q11" s="1" t="str" cm="1">
        <f t="array" ref="Q11">_xlfn.IFS(Table1[[#This Row],[Percentage]]&gt;=90%,"Excellent",Table1[[#This Row],[Percentage]]&gt;=80%,"Very Good",Table1[[#This Row],[Percentage]]&gt;=70%,"Good",Table1[[#This Row],[Percentage]]&gt;=60%,"Satisfactory",Table1[[#This Row],[Percentage]]&gt;33%,"Needs Improvement",Table1[[#This Row],[Percentage]]&lt;33%,"Poor")</f>
        <v>Satisfactory</v>
      </c>
      <c r="R11" s="2" t="str">
        <f>IF(Table1[[#This Row],[Percentage]]&gt;=35%,"Pass","Fail")</f>
        <v>Pass</v>
      </c>
    </row>
    <row r="12" spans="1:18" x14ac:dyDescent="0.25">
      <c r="A12" s="7">
        <v>11</v>
      </c>
      <c r="B12" s="9" t="s">
        <v>12</v>
      </c>
      <c r="C12" s="8">
        <v>311</v>
      </c>
      <c r="D12" s="13">
        <v>33</v>
      </c>
      <c r="E12" s="13">
        <v>33</v>
      </c>
      <c r="F12" s="13">
        <v>90</v>
      </c>
      <c r="G12" s="13">
        <v>100</v>
      </c>
      <c r="H12" s="13">
        <v>33</v>
      </c>
      <c r="I12" s="13">
        <v>80</v>
      </c>
      <c r="J12" s="13">
        <v>64</v>
      </c>
      <c r="K12" s="13">
        <v>50</v>
      </c>
      <c r="L12" s="10">
        <f t="shared" si="1"/>
        <v>483</v>
      </c>
      <c r="M12" s="2" t="str">
        <f t="shared" si="4"/>
        <v>Asad Ullah</v>
      </c>
      <c r="N12" s="2">
        <f t="shared" si="0"/>
        <v>6</v>
      </c>
      <c r="O12" s="11">
        <f>Table1[[#This Row],[Total]]/750</f>
        <v>0.64400000000000002</v>
      </c>
      <c r="P12" s="11" t="str" cm="1">
        <f t="array" ref="P12">_xlfn.IFS(Q12="Excellent","A",Q12="Very Good","B",Q12="Good","C",Q12="Satisfactory","D",Q12="Needs Improvement","F",Q12="Poor","F",Q12="Absent","Absent")</f>
        <v>D</v>
      </c>
      <c r="Q12" s="1" t="str" cm="1">
        <f t="array" ref="Q12">_xlfn.IFS(Table1[[#This Row],[Percentage]]&gt;=90%,"Excellent",Table1[[#This Row],[Percentage]]&gt;=80%,"Very Good",Table1[[#This Row],[Percentage]]&gt;=70%,"Good",Table1[[#This Row],[Percentage]]&gt;=60%,"Satisfactory",Table1[[#This Row],[Percentage]]&gt;33%,"Needs Improvement",Table1[[#This Row],[Percentage]]&lt;33%,"Poor")</f>
        <v>Satisfactory</v>
      </c>
      <c r="R12" s="2" t="str">
        <f>IF(Table1[[#This Row],[Percentage]]&gt;=35%,"Pass","Fail")</f>
        <v>Pass</v>
      </c>
    </row>
    <row r="13" spans="1:18" x14ac:dyDescent="0.25">
      <c r="A13" s="7">
        <v>12</v>
      </c>
      <c r="B13" s="9" t="s">
        <v>13</v>
      </c>
      <c r="C13" s="8">
        <v>312</v>
      </c>
      <c r="D13" s="13">
        <v>33</v>
      </c>
      <c r="E13" s="13" t="s">
        <v>31</v>
      </c>
      <c r="F13" s="13">
        <v>90</v>
      </c>
      <c r="G13" s="13">
        <v>100</v>
      </c>
      <c r="H13" s="13" t="s">
        <v>31</v>
      </c>
      <c r="I13" s="13">
        <v>80</v>
      </c>
      <c r="J13" s="13">
        <v>36</v>
      </c>
      <c r="K13" s="13">
        <v>50</v>
      </c>
      <c r="L13" s="10">
        <f t="shared" si="1"/>
        <v>389</v>
      </c>
      <c r="M13" s="2" t="str">
        <f t="shared" si="4"/>
        <v>Salman</v>
      </c>
      <c r="N13" s="2">
        <f t="shared" si="0"/>
        <v>16</v>
      </c>
      <c r="O13" s="11">
        <f>Table1[[#This Row],[Total]]/750</f>
        <v>0.51866666666666672</v>
      </c>
      <c r="P13" s="11" t="str" cm="1">
        <f t="array" ref="P13">_xlfn.IFS(Q13="Excellent","A",Q13="Very Good","B",Q13="Good","C",Q13="Satisfactory","D",Q13="Needs Improvement","F",Q13="Poor","F",Q13="Absent","Absent")</f>
        <v>F</v>
      </c>
      <c r="Q13" s="1" t="str" cm="1">
        <f t="array" ref="Q13">_xlfn.IFS(Table1[[#This Row],[Percentage]]&gt;=90%,"Excellent",Table1[[#This Row],[Percentage]]&gt;=80%,"Very Good",Table1[[#This Row],[Percentage]]&gt;=70%,"Good",Table1[[#This Row],[Percentage]]&gt;=60%,"Satisfactory",Table1[[#This Row],[Percentage]]&gt;33%,"Needs Improvement",Table1[[#This Row],[Percentage]]&lt;33%,"Poor")</f>
        <v>Needs Improvement</v>
      </c>
      <c r="R13" s="2" t="str">
        <f>IF(Table1[[#This Row],[Percentage]]&gt;=35%,"Pass","Fail")</f>
        <v>Pass</v>
      </c>
    </row>
    <row r="14" spans="1:18" x14ac:dyDescent="0.25">
      <c r="A14" s="7">
        <v>13</v>
      </c>
      <c r="B14" s="9" t="s">
        <v>14</v>
      </c>
      <c r="C14" s="8">
        <v>313</v>
      </c>
      <c r="D14" s="13">
        <v>33</v>
      </c>
      <c r="E14" s="13">
        <v>33</v>
      </c>
      <c r="F14" s="13">
        <v>90</v>
      </c>
      <c r="G14" s="13">
        <v>100</v>
      </c>
      <c r="H14" s="13">
        <v>33</v>
      </c>
      <c r="I14" s="13">
        <v>80</v>
      </c>
      <c r="J14" s="13">
        <v>36</v>
      </c>
      <c r="K14" s="13">
        <v>50</v>
      </c>
      <c r="L14" s="10">
        <f t="shared" si="1"/>
        <v>455</v>
      </c>
      <c r="M14" s="2" t="str">
        <f t="shared" si="4"/>
        <v>Fawad</v>
      </c>
      <c r="N14" s="2">
        <f t="shared" si="0"/>
        <v>11</v>
      </c>
      <c r="O14" s="11">
        <f>Table1[[#This Row],[Total]]/750</f>
        <v>0.60666666666666669</v>
      </c>
      <c r="P14" s="11" t="str" cm="1">
        <f t="array" ref="P14">_xlfn.IFS(Q14="Excellent","A",Q14="Very Good","B",Q14="Good","C",Q14="Satisfactory","D",Q14="Needs Improvement","F",Q14="Poor","F",Q14="Absent","Absent")</f>
        <v>D</v>
      </c>
      <c r="Q14" s="1" t="str" cm="1">
        <f t="array" ref="Q14">_xlfn.IFS(Table1[[#This Row],[Percentage]]&gt;=90%,"Excellent",Table1[[#This Row],[Percentage]]&gt;=80%,"Very Good",Table1[[#This Row],[Percentage]]&gt;=70%,"Good",Table1[[#This Row],[Percentage]]&gt;=60%,"Satisfactory",Table1[[#This Row],[Percentage]]&gt;33%,"Needs Improvement",Table1[[#This Row],[Percentage]]&lt;33%,"Poor")</f>
        <v>Satisfactory</v>
      </c>
      <c r="R14" s="2" t="str">
        <f>IF(Table1[[#This Row],[Percentage]]&gt;=35%,"Pass","Fail")</f>
        <v>Pass</v>
      </c>
    </row>
    <row r="15" spans="1:18" x14ac:dyDescent="0.25">
      <c r="A15" s="7">
        <v>14</v>
      </c>
      <c r="B15" s="9" t="s">
        <v>15</v>
      </c>
      <c r="C15" s="8">
        <v>314</v>
      </c>
      <c r="D15" s="13">
        <v>33</v>
      </c>
      <c r="E15" s="13">
        <v>33</v>
      </c>
      <c r="F15" s="13">
        <v>90</v>
      </c>
      <c r="G15" s="13">
        <v>100</v>
      </c>
      <c r="H15" s="13">
        <v>33</v>
      </c>
      <c r="I15" s="13">
        <v>80</v>
      </c>
      <c r="J15" s="13">
        <v>50</v>
      </c>
      <c r="K15" s="13">
        <v>50</v>
      </c>
      <c r="L15" s="10">
        <f t="shared" si="1"/>
        <v>469</v>
      </c>
      <c r="M15" s="2" t="str">
        <f t="shared" si="4"/>
        <v>Hamayon</v>
      </c>
      <c r="N15" s="2">
        <f t="shared" si="0"/>
        <v>9</v>
      </c>
      <c r="O15" s="11">
        <f>Table1[[#This Row],[Total]]/750</f>
        <v>0.6253333333333333</v>
      </c>
      <c r="P15" s="11" t="str" cm="1">
        <f t="array" ref="P15">_xlfn.IFS(Q15="Excellent","A",Q15="Very Good","B",Q15="Good","C",Q15="Satisfactory","D",Q15="Needs Improvement","F",Q15="Poor","F",Q15="Absent","Absent")</f>
        <v>D</v>
      </c>
      <c r="Q15" s="1" t="str" cm="1">
        <f t="array" ref="Q15">_xlfn.IFS(Table1[[#This Row],[Percentage]]&gt;=90%,"Excellent",Table1[[#This Row],[Percentage]]&gt;=80%,"Very Good",Table1[[#This Row],[Percentage]]&gt;=70%,"Good",Table1[[#This Row],[Percentage]]&gt;=60%,"Satisfactory",Table1[[#This Row],[Percentage]]&gt;33%,"Needs Improvement",Table1[[#This Row],[Percentage]]&lt;33%,"Poor")</f>
        <v>Satisfactory</v>
      </c>
      <c r="R15" s="2" t="str">
        <f>IF(Table1[[#This Row],[Percentage]]&gt;=35%,"Pass","Fail")</f>
        <v>Pass</v>
      </c>
    </row>
    <row r="16" spans="1:18" x14ac:dyDescent="0.25">
      <c r="A16" s="7">
        <v>15</v>
      </c>
      <c r="B16" s="9" t="s">
        <v>16</v>
      </c>
      <c r="C16" s="8">
        <v>315</v>
      </c>
      <c r="D16" s="13">
        <v>33</v>
      </c>
      <c r="E16" s="13">
        <v>33</v>
      </c>
      <c r="F16" s="13">
        <v>90</v>
      </c>
      <c r="G16" s="13">
        <v>100</v>
      </c>
      <c r="H16" s="13">
        <v>33</v>
      </c>
      <c r="I16" s="13">
        <v>80</v>
      </c>
      <c r="J16" s="13">
        <v>36</v>
      </c>
      <c r="K16" s="13">
        <v>50</v>
      </c>
      <c r="L16" s="10">
        <f t="shared" si="1"/>
        <v>455</v>
      </c>
      <c r="M16" s="2" t="str">
        <f t="shared" si="4"/>
        <v xml:space="preserve">Nasir </v>
      </c>
      <c r="N16" s="2">
        <f t="shared" si="0"/>
        <v>11</v>
      </c>
      <c r="O16" s="11">
        <f>Table1[[#This Row],[Total]]/750</f>
        <v>0.60666666666666669</v>
      </c>
      <c r="P16" s="11" t="str" cm="1">
        <f t="array" ref="P16">_xlfn.IFS(Q16="Excellent","A",Q16="Very Good","B",Q16="Good","C",Q16="Satisfactory","D",Q16="Needs Improvement","F",Q16="Poor","F",Q16="Absent","Absent")</f>
        <v>D</v>
      </c>
      <c r="Q16" s="1" t="str" cm="1">
        <f t="array" ref="Q16">_xlfn.IFS(Table1[[#This Row],[Percentage]]&gt;=90%,"Excellent",Table1[[#This Row],[Percentage]]&gt;=80%,"Very Good",Table1[[#This Row],[Percentage]]&gt;=70%,"Good",Table1[[#This Row],[Percentage]]&gt;=60%,"Satisfactory",Table1[[#This Row],[Percentage]]&gt;33%,"Needs Improvement",Table1[[#This Row],[Percentage]]&lt;33%,"Poor")</f>
        <v>Satisfactory</v>
      </c>
      <c r="R16" s="2" t="str">
        <f>IF(Table1[[#This Row],[Percentage]]&gt;=35%,"Pass","Fail")</f>
        <v>Pass</v>
      </c>
    </row>
    <row r="17" spans="1:18" x14ac:dyDescent="0.25">
      <c r="A17" s="7">
        <v>16</v>
      </c>
      <c r="B17" s="9" t="s">
        <v>17</v>
      </c>
      <c r="C17" s="8">
        <v>316</v>
      </c>
      <c r="D17" s="13">
        <v>33</v>
      </c>
      <c r="E17" s="13">
        <v>33</v>
      </c>
      <c r="F17" s="13">
        <v>90</v>
      </c>
      <c r="G17" s="13">
        <v>100</v>
      </c>
      <c r="H17" s="13">
        <v>33</v>
      </c>
      <c r="I17" s="13">
        <v>80</v>
      </c>
      <c r="J17" s="13">
        <v>36</v>
      </c>
      <c r="K17" s="13">
        <v>50</v>
      </c>
      <c r="L17" s="10">
        <f t="shared" si="1"/>
        <v>455</v>
      </c>
      <c r="M17" s="2" t="str">
        <f t="shared" si="4"/>
        <v>Senan</v>
      </c>
      <c r="N17" s="2">
        <f t="shared" si="0"/>
        <v>11</v>
      </c>
      <c r="O17" s="11">
        <f>Table1[[#This Row],[Total]]/750</f>
        <v>0.60666666666666669</v>
      </c>
      <c r="P17" s="11" t="str" cm="1">
        <f t="array" ref="P17">_xlfn.IFS(Q17="Excellent","A",Q17="Very Good","B",Q17="Good","C",Q17="Satisfactory","D",Q17="Needs Improvement","F",Q17="Poor","F",Q17="Absent","Absent")</f>
        <v>D</v>
      </c>
      <c r="Q17" s="1" t="str" cm="1">
        <f t="array" ref="Q17">_xlfn.IFS(Table1[[#This Row],[Percentage]]&gt;=90%,"Excellent",Table1[[#This Row],[Percentage]]&gt;=80%,"Very Good",Table1[[#This Row],[Percentage]]&gt;=70%,"Good",Table1[[#This Row],[Percentage]]&gt;=60%,"Satisfactory",Table1[[#This Row],[Percentage]]&gt;33%,"Needs Improvement",Table1[[#This Row],[Percentage]]&lt;33%,"Poor")</f>
        <v>Satisfactory</v>
      </c>
      <c r="R17" s="2" t="str">
        <f>IF(Table1[[#This Row],[Percentage]]&gt;=35%,"Pass","Fail")</f>
        <v>Pass</v>
      </c>
    </row>
    <row r="18" spans="1:18" x14ac:dyDescent="0.25">
      <c r="A18" s="7">
        <v>17</v>
      </c>
      <c r="B18" s="9" t="s">
        <v>18</v>
      </c>
      <c r="C18" s="8">
        <v>317</v>
      </c>
      <c r="D18" s="13">
        <v>33</v>
      </c>
      <c r="E18" s="13">
        <v>33</v>
      </c>
      <c r="F18" s="13">
        <v>90</v>
      </c>
      <c r="G18" s="13">
        <v>100</v>
      </c>
      <c r="H18" s="13">
        <v>33</v>
      </c>
      <c r="I18" s="13">
        <v>80</v>
      </c>
      <c r="J18" s="13">
        <v>36</v>
      </c>
      <c r="K18" s="13">
        <v>50</v>
      </c>
      <c r="L18" s="10">
        <f t="shared" si="1"/>
        <v>455</v>
      </c>
      <c r="M18" s="2" t="str">
        <f t="shared" si="4"/>
        <v>Ahmad</v>
      </c>
      <c r="N18" s="2">
        <f t="shared" si="0"/>
        <v>11</v>
      </c>
      <c r="O18" s="11">
        <f>Table1[[#This Row],[Total]]/750</f>
        <v>0.60666666666666669</v>
      </c>
      <c r="P18" s="11" t="str" cm="1">
        <f t="array" ref="P18">_xlfn.IFS(Q18="Excellent","A",Q18="Very Good","B",Q18="Good","C",Q18="Satisfactory","D",Q18="Needs Improvement","F",Q18="Poor","F",Q18="Absent","Absent")</f>
        <v>D</v>
      </c>
      <c r="Q18" s="1" t="str" cm="1">
        <f t="array" ref="Q18">_xlfn.IFS(Table1[[#This Row],[Percentage]]&gt;=90%,"Excellent",Table1[[#This Row],[Percentage]]&gt;=80%,"Very Good",Table1[[#This Row],[Percentage]]&gt;=70%,"Good",Table1[[#This Row],[Percentage]]&gt;=60%,"Satisfactory",Table1[[#This Row],[Percentage]]&gt;33%,"Needs Improvement",Table1[[#This Row],[Percentage]]&lt;33%,"Poor")</f>
        <v>Satisfactory</v>
      </c>
      <c r="R18" s="2" t="str">
        <f>IF(Table1[[#This Row],[Percentage]]&gt;=35%,"Pass","Fail")</f>
        <v>Pass</v>
      </c>
    </row>
    <row r="19" spans="1:18" x14ac:dyDescent="0.25">
      <c r="A19" s="7">
        <v>18</v>
      </c>
      <c r="B19" s="9" t="s">
        <v>19</v>
      </c>
      <c r="C19" s="8">
        <v>318</v>
      </c>
      <c r="D19" s="13">
        <v>33</v>
      </c>
      <c r="E19" s="13">
        <v>33</v>
      </c>
      <c r="F19" s="13">
        <v>90</v>
      </c>
      <c r="G19" s="13">
        <v>33</v>
      </c>
      <c r="H19" s="13" t="s">
        <v>31</v>
      </c>
      <c r="I19" s="13">
        <v>80</v>
      </c>
      <c r="J19" s="13" t="s">
        <v>31</v>
      </c>
      <c r="K19" s="13">
        <v>50</v>
      </c>
      <c r="L19" s="10">
        <f t="shared" si="1"/>
        <v>319</v>
      </c>
      <c r="M19" s="2" t="str">
        <f t="shared" si="4"/>
        <v>Talal</v>
      </c>
      <c r="N19" s="2">
        <f t="shared" si="0"/>
        <v>22</v>
      </c>
      <c r="O19" s="11">
        <f>Table1[[#This Row],[Total]]/750</f>
        <v>0.42533333333333334</v>
      </c>
      <c r="P19" s="11" t="str" cm="1">
        <f t="array" ref="P19">_xlfn.IFS(Q19="Excellent","A",Q19="Very Good","B",Q19="Good","C",Q19="Satisfactory","D",Q19="Needs Improvement","F",Q19="Poor","F",Q19="Absent","Absent")</f>
        <v>F</v>
      </c>
      <c r="Q19" s="1" t="str" cm="1">
        <f t="array" ref="Q19">_xlfn.IFS(Table1[[#This Row],[Percentage]]&gt;=90%,"Excellent",Table1[[#This Row],[Percentage]]&gt;=80%,"Very Good",Table1[[#This Row],[Percentage]]&gt;=70%,"Good",Table1[[#This Row],[Percentage]]&gt;=60%,"Satisfactory",Table1[[#This Row],[Percentage]]&gt;33%,"Needs Improvement",Table1[[#This Row],[Percentage]]&lt;33%,"Poor")</f>
        <v>Needs Improvement</v>
      </c>
      <c r="R19" s="2" t="str">
        <f>IF(Table1[[#This Row],[Percentage]]&gt;=35%,"Pass","Fail")</f>
        <v>Pass</v>
      </c>
    </row>
    <row r="20" spans="1:18" x14ac:dyDescent="0.25">
      <c r="A20" s="7">
        <v>19</v>
      </c>
      <c r="B20" s="9" t="s">
        <v>20</v>
      </c>
      <c r="C20" s="8">
        <v>319</v>
      </c>
      <c r="D20" s="13">
        <v>33</v>
      </c>
      <c r="E20" s="13">
        <v>33</v>
      </c>
      <c r="F20" s="13">
        <v>90</v>
      </c>
      <c r="G20" s="13">
        <v>33</v>
      </c>
      <c r="H20" s="13">
        <v>33</v>
      </c>
      <c r="I20" s="13">
        <v>80</v>
      </c>
      <c r="J20" s="13">
        <v>36</v>
      </c>
      <c r="K20" s="13">
        <v>50</v>
      </c>
      <c r="L20" s="10">
        <f t="shared" si="1"/>
        <v>388</v>
      </c>
      <c r="M20" s="2" t="str">
        <f t="shared" si="4"/>
        <v>Misbah</v>
      </c>
      <c r="N20" s="2">
        <f t="shared" si="0"/>
        <v>17</v>
      </c>
      <c r="O20" s="11">
        <f>Table1[[#This Row],[Total]]/750</f>
        <v>0.51733333333333331</v>
      </c>
      <c r="P20" s="11" t="str" cm="1">
        <f t="array" ref="P20">_xlfn.IFS(Q20="Excellent","A",Q20="Very Good","B",Q20="Good","C",Q20="Satisfactory","D",Q20="Needs Improvement","F",Q20="Poor","F",Q20="Absent","Absent")</f>
        <v>F</v>
      </c>
      <c r="Q20" s="1" t="str" cm="1">
        <f t="array" ref="Q20">_xlfn.IFS(Table1[[#This Row],[Percentage]]&gt;=90%,"Excellent",Table1[[#This Row],[Percentage]]&gt;=80%,"Very Good",Table1[[#This Row],[Percentage]]&gt;=70%,"Good",Table1[[#This Row],[Percentage]]&gt;=60%,"Satisfactory",Table1[[#This Row],[Percentage]]&gt;33%,"Needs Improvement",Table1[[#This Row],[Percentage]]&lt;33%,"Poor")</f>
        <v>Needs Improvement</v>
      </c>
      <c r="R20" s="2" t="str">
        <f>IF(Table1[[#This Row],[Percentage]]&gt;=35%,"Pass","Fail")</f>
        <v>Pass</v>
      </c>
    </row>
    <row r="21" spans="1:18" x14ac:dyDescent="0.25">
      <c r="A21" s="7">
        <v>20</v>
      </c>
      <c r="B21" s="9" t="s">
        <v>21</v>
      </c>
      <c r="C21" s="8">
        <v>320</v>
      </c>
      <c r="D21" s="13">
        <v>33</v>
      </c>
      <c r="E21" s="13">
        <v>33</v>
      </c>
      <c r="F21" s="13">
        <v>76</v>
      </c>
      <c r="G21" s="13">
        <v>33</v>
      </c>
      <c r="H21" s="13">
        <v>33</v>
      </c>
      <c r="I21" s="13">
        <v>80</v>
      </c>
      <c r="J21" s="13">
        <v>32</v>
      </c>
      <c r="K21" s="13">
        <v>50</v>
      </c>
      <c r="L21" s="10">
        <f t="shared" si="1"/>
        <v>370</v>
      </c>
      <c r="M21" s="2" t="str">
        <f t="shared" si="4"/>
        <v>Hamza</v>
      </c>
      <c r="N21" s="2">
        <f t="shared" si="0"/>
        <v>19</v>
      </c>
      <c r="O21" s="11">
        <f>Table1[[#This Row],[Total]]/750</f>
        <v>0.49333333333333335</v>
      </c>
      <c r="P21" s="11" t="str" cm="1">
        <f t="array" ref="P21">_xlfn.IFS(Q21="Excellent","A",Q21="Very Good","B",Q21="Good","C",Q21="Satisfactory","D",Q21="Needs Improvement","F",Q21="Poor","F",Q21="Absent","Absent")</f>
        <v>F</v>
      </c>
      <c r="Q21" s="1" t="str" cm="1">
        <f t="array" ref="Q21">_xlfn.IFS(Table1[[#This Row],[Percentage]]&gt;=90%,"Excellent",Table1[[#This Row],[Percentage]]&gt;=80%,"Very Good",Table1[[#This Row],[Percentage]]&gt;=70%,"Good",Table1[[#This Row],[Percentage]]&gt;=60%,"Satisfactory",Table1[[#This Row],[Percentage]]&gt;33%,"Needs Improvement",Table1[[#This Row],[Percentage]]&lt;33%,"Poor")</f>
        <v>Needs Improvement</v>
      </c>
      <c r="R21" s="2" t="str">
        <f>IF(Table1[[#This Row],[Percentage]]&gt;=35%,"Pass","Fail")</f>
        <v>Pass</v>
      </c>
    </row>
    <row r="22" spans="1:18" x14ac:dyDescent="0.25">
      <c r="A22" s="7">
        <v>21</v>
      </c>
      <c r="B22" s="9" t="s">
        <v>22</v>
      </c>
      <c r="C22" s="8">
        <v>321</v>
      </c>
      <c r="D22" s="13">
        <v>33</v>
      </c>
      <c r="E22" s="13">
        <v>33</v>
      </c>
      <c r="F22" s="13">
        <v>90</v>
      </c>
      <c r="G22" s="13">
        <v>33</v>
      </c>
      <c r="H22" s="13">
        <v>33</v>
      </c>
      <c r="I22" s="13">
        <v>80</v>
      </c>
      <c r="J22" s="13">
        <v>36</v>
      </c>
      <c r="K22" s="13">
        <v>50</v>
      </c>
      <c r="L22" s="10">
        <f t="shared" si="1"/>
        <v>388</v>
      </c>
      <c r="M22" s="2" t="str">
        <f t="shared" si="4"/>
        <v>Sahil</v>
      </c>
      <c r="N22" s="2">
        <f t="shared" si="0"/>
        <v>17</v>
      </c>
      <c r="O22" s="11">
        <f>Table1[[#This Row],[Total]]/750</f>
        <v>0.51733333333333331</v>
      </c>
      <c r="P22" s="11" t="str" cm="1">
        <f t="array" ref="P22">_xlfn.IFS(Q22="Excellent","A",Q22="Very Good","B",Q22="Good","C",Q22="Satisfactory","D",Q22="Needs Improvement","F",Q22="Poor","F",Q22="Absent","Absent")</f>
        <v>F</v>
      </c>
      <c r="Q22" s="1" t="str" cm="1">
        <f t="array" ref="Q22">_xlfn.IFS(Table1[[#This Row],[Percentage]]&gt;=90%,"Excellent",Table1[[#This Row],[Percentage]]&gt;=80%,"Very Good",Table1[[#This Row],[Percentage]]&gt;=70%,"Good",Table1[[#This Row],[Percentage]]&gt;=60%,"Satisfactory",Table1[[#This Row],[Percentage]]&gt;33%,"Needs Improvement",Table1[[#This Row],[Percentage]]&lt;33%,"Poor")</f>
        <v>Needs Improvement</v>
      </c>
      <c r="R22" s="2" t="str">
        <f>IF(Table1[[#This Row],[Percentage]]&gt;=35%,"Pass","Fail")</f>
        <v>Pass</v>
      </c>
    </row>
    <row r="23" spans="1:18" x14ac:dyDescent="0.25">
      <c r="A23" s="7">
        <v>22</v>
      </c>
      <c r="B23" s="9" t="s">
        <v>23</v>
      </c>
      <c r="C23" s="8">
        <v>322</v>
      </c>
      <c r="D23" s="13">
        <v>33</v>
      </c>
      <c r="E23" s="13">
        <v>33</v>
      </c>
      <c r="F23" s="13">
        <v>33</v>
      </c>
      <c r="G23" s="13">
        <v>33</v>
      </c>
      <c r="H23" s="13">
        <v>33</v>
      </c>
      <c r="I23" s="13">
        <v>80</v>
      </c>
      <c r="J23" s="13">
        <v>36</v>
      </c>
      <c r="K23" s="13">
        <v>50</v>
      </c>
      <c r="L23" s="10">
        <f t="shared" si="1"/>
        <v>331</v>
      </c>
      <c r="M23" s="2" t="str">
        <f t="shared" si="4"/>
        <v>Alfan</v>
      </c>
      <c r="N23" s="2">
        <f t="shared" si="0"/>
        <v>21</v>
      </c>
      <c r="O23" s="11">
        <f>Table1[[#This Row],[Total]]/750</f>
        <v>0.44133333333333336</v>
      </c>
      <c r="P23" s="11" t="str" cm="1">
        <f t="array" ref="P23">_xlfn.IFS(Q23="Excellent","A",Q23="Very Good","B",Q23="Good","C",Q23="Satisfactory","D",Q23="Needs Improvement","F",Q23="Poor","F",Q23="Absent","Absent")</f>
        <v>F</v>
      </c>
      <c r="Q23" s="1" t="str" cm="1">
        <f t="array" ref="Q23">_xlfn.IFS(Table1[[#This Row],[Percentage]]&gt;=90%,"Excellent",Table1[[#This Row],[Percentage]]&gt;=80%,"Very Good",Table1[[#This Row],[Percentage]]&gt;=70%,"Good",Table1[[#This Row],[Percentage]]&gt;=60%,"Satisfactory",Table1[[#This Row],[Percentage]]&gt;33%,"Needs Improvement",Table1[[#This Row],[Percentage]]&lt;33%,"Poor")</f>
        <v>Needs Improvement</v>
      </c>
      <c r="R23" s="2" t="str">
        <f>IF(Table1[[#This Row],[Percentage]]&gt;=35%,"Pass","Fail")</f>
        <v>Pass</v>
      </c>
    </row>
    <row r="24" spans="1:18" x14ac:dyDescent="0.25">
      <c r="A24" s="7">
        <v>23</v>
      </c>
      <c r="B24" s="9" t="s">
        <v>24</v>
      </c>
      <c r="C24" s="8">
        <v>323</v>
      </c>
      <c r="D24" s="13">
        <v>33</v>
      </c>
      <c r="E24" s="13">
        <v>33</v>
      </c>
      <c r="F24" s="13">
        <v>33</v>
      </c>
      <c r="G24" s="13">
        <v>33</v>
      </c>
      <c r="H24" s="13">
        <v>33</v>
      </c>
      <c r="I24" s="13">
        <v>33</v>
      </c>
      <c r="J24" s="13">
        <v>36</v>
      </c>
      <c r="K24" s="13">
        <v>50</v>
      </c>
      <c r="L24" s="10">
        <f t="shared" si="1"/>
        <v>284</v>
      </c>
      <c r="M24" s="2" t="str">
        <f t="shared" si="4"/>
        <v>Qasim</v>
      </c>
      <c r="N24" s="2">
        <f t="shared" si="0"/>
        <v>28</v>
      </c>
      <c r="O24" s="11">
        <f>Table1[[#This Row],[Total]]/750</f>
        <v>0.37866666666666665</v>
      </c>
      <c r="P24" s="11" t="str" cm="1">
        <f t="array" ref="P24">_xlfn.IFS(Q24="Excellent","A",Q24="Very Good","B",Q24="Good","C",Q24="Satisfactory","D",Q24="Needs Improvement","F",Q24="Poor","F",Q24="Absent","Absent")</f>
        <v>F</v>
      </c>
      <c r="Q24" s="1" t="str" cm="1">
        <f t="array" ref="Q24">_xlfn.IFS(Table1[[#This Row],[Percentage]]&gt;=90%,"Excellent",Table1[[#This Row],[Percentage]]&gt;=80%,"Very Good",Table1[[#This Row],[Percentage]]&gt;=70%,"Good",Table1[[#This Row],[Percentage]]&gt;=60%,"Satisfactory",Table1[[#This Row],[Percentage]]&gt;33%,"Needs Improvement",Table1[[#This Row],[Percentage]]&lt;33%,"Poor")</f>
        <v>Needs Improvement</v>
      </c>
      <c r="R24" s="2" t="str">
        <f>IF(Table1[[#This Row],[Percentage]]&gt;=35%,"Pass","Fail")</f>
        <v>Pass</v>
      </c>
    </row>
    <row r="25" spans="1:18" x14ac:dyDescent="0.25">
      <c r="A25" s="7">
        <v>24</v>
      </c>
      <c r="B25" s="9" t="s">
        <v>25</v>
      </c>
      <c r="C25" s="8">
        <v>324</v>
      </c>
      <c r="D25" s="13">
        <v>33</v>
      </c>
      <c r="E25" s="13">
        <v>33</v>
      </c>
      <c r="F25" s="13">
        <v>33</v>
      </c>
      <c r="G25" s="13">
        <v>33</v>
      </c>
      <c r="H25" s="13">
        <v>33</v>
      </c>
      <c r="I25" s="13">
        <v>33</v>
      </c>
      <c r="J25" s="13">
        <v>48</v>
      </c>
      <c r="K25" s="13">
        <v>50</v>
      </c>
      <c r="L25" s="10">
        <f t="shared" si="1"/>
        <v>296</v>
      </c>
      <c r="M25" s="2" t="str">
        <f t="shared" si="4"/>
        <v xml:space="preserve">Bihzad </v>
      </c>
      <c r="N25" s="2">
        <f t="shared" si="0"/>
        <v>24</v>
      </c>
      <c r="O25" s="11">
        <f>Table1[[#This Row],[Total]]/750</f>
        <v>0.39466666666666667</v>
      </c>
      <c r="P25" s="11" t="str" cm="1">
        <f t="array" ref="P25">_xlfn.IFS(Q25="Excellent","A",Q25="Very Good","B",Q25="Good","C",Q25="Satisfactory","D",Q25="Needs Improvement","F",Q25="Poor","F",Q25="Absent","Absent")</f>
        <v>F</v>
      </c>
      <c r="Q25" s="1" t="str" cm="1">
        <f t="array" ref="Q25">_xlfn.IFS(Table1[[#This Row],[Percentage]]&gt;=90%,"Excellent",Table1[[#This Row],[Percentage]]&gt;=80%,"Very Good",Table1[[#This Row],[Percentage]]&gt;=70%,"Good",Table1[[#This Row],[Percentage]]&gt;=60%,"Satisfactory",Table1[[#This Row],[Percentage]]&gt;33%,"Needs Improvement",Table1[[#This Row],[Percentage]]&lt;33%,"Poor")</f>
        <v>Needs Improvement</v>
      </c>
      <c r="R25" s="2" t="str">
        <f>IF(Table1[[#This Row],[Percentage]]&gt;=35%,"Pass","Fail")</f>
        <v>Pass</v>
      </c>
    </row>
    <row r="26" spans="1:18" x14ac:dyDescent="0.25">
      <c r="A26" s="7">
        <v>25</v>
      </c>
      <c r="B26" s="9" t="s">
        <v>26</v>
      </c>
      <c r="C26" s="8">
        <v>325</v>
      </c>
      <c r="D26" s="13">
        <v>41</v>
      </c>
      <c r="E26" s="13">
        <v>33</v>
      </c>
      <c r="F26" s="13">
        <v>36</v>
      </c>
      <c r="G26" s="13">
        <v>33</v>
      </c>
      <c r="H26" s="13">
        <v>33</v>
      </c>
      <c r="I26" s="13">
        <v>33</v>
      </c>
      <c r="J26" s="13">
        <v>52</v>
      </c>
      <c r="K26" s="13">
        <v>50</v>
      </c>
      <c r="L26" s="10">
        <f t="shared" si="1"/>
        <v>311</v>
      </c>
      <c r="M26" s="2" t="str">
        <f t="shared" si="4"/>
        <v>Dilshan</v>
      </c>
      <c r="N26" s="2">
        <f t="shared" si="0"/>
        <v>23</v>
      </c>
      <c r="O26" s="11">
        <f>Table1[[#This Row],[Total]]/750</f>
        <v>0.41466666666666668</v>
      </c>
      <c r="P26" s="11" t="str" cm="1">
        <f t="array" ref="P26">_xlfn.IFS(Q26="Excellent","A",Q26="Very Good","B",Q26="Good","C",Q26="Satisfactory","D",Q26="Needs Improvement","F",Q26="Poor","F",Q26="Absent","Absent")</f>
        <v>F</v>
      </c>
      <c r="Q26" s="1" t="str" cm="1">
        <f t="array" ref="Q26">_xlfn.IFS(Table1[[#This Row],[Percentage]]&gt;=90%,"Excellent",Table1[[#This Row],[Percentage]]&gt;=80%,"Very Good",Table1[[#This Row],[Percentage]]&gt;=70%,"Good",Table1[[#This Row],[Percentage]]&gt;=60%,"Satisfactory",Table1[[#This Row],[Percentage]]&gt;33%,"Needs Improvement",Table1[[#This Row],[Percentage]]&lt;33%,"Poor")</f>
        <v>Needs Improvement</v>
      </c>
      <c r="R26" s="2" t="str">
        <f>IF(Table1[[#This Row],[Percentage]]&gt;=35%,"Pass","Fail")</f>
        <v>Pass</v>
      </c>
    </row>
    <row r="27" spans="1:18" x14ac:dyDescent="0.25">
      <c r="A27" s="7">
        <v>26</v>
      </c>
      <c r="B27" s="9" t="s">
        <v>27</v>
      </c>
      <c r="C27" s="8">
        <v>326</v>
      </c>
      <c r="D27" s="13">
        <v>33</v>
      </c>
      <c r="E27" s="13">
        <v>33</v>
      </c>
      <c r="F27" s="13">
        <v>36</v>
      </c>
      <c r="G27" s="13">
        <v>33</v>
      </c>
      <c r="H27" s="13">
        <v>33</v>
      </c>
      <c r="I27" s="13">
        <v>33</v>
      </c>
      <c r="J27" s="13">
        <v>40</v>
      </c>
      <c r="K27" s="13">
        <v>50</v>
      </c>
      <c r="L27" s="10">
        <f t="shared" si="1"/>
        <v>291</v>
      </c>
      <c r="M27" s="2" t="str">
        <f t="shared" si="4"/>
        <v>Seyab</v>
      </c>
      <c r="N27" s="2">
        <f t="shared" si="0"/>
        <v>26</v>
      </c>
      <c r="O27" s="11">
        <f>Table1[[#This Row],[Total]]/750</f>
        <v>0.38800000000000001</v>
      </c>
      <c r="P27" s="11" t="str" cm="1">
        <f t="array" ref="P27">_xlfn.IFS(Q27="Excellent","A",Q27="Very Good","B",Q27="Good","C",Q27="Satisfactory","D",Q27="Needs Improvement","F",Q27="Poor","F",Q27="Absent","Absent")</f>
        <v>F</v>
      </c>
      <c r="Q27" s="1" t="str" cm="1">
        <f t="array" ref="Q27">_xlfn.IFS(Table1[[#This Row],[Percentage]]&gt;=90%,"Excellent",Table1[[#This Row],[Percentage]]&gt;=80%,"Very Good",Table1[[#This Row],[Percentage]]&gt;=70%,"Good",Table1[[#This Row],[Percentage]]&gt;=60%,"Satisfactory",Table1[[#This Row],[Percentage]]&gt;33%,"Needs Improvement",Table1[[#This Row],[Percentage]]&lt;33%,"Poor")</f>
        <v>Needs Improvement</v>
      </c>
      <c r="R27" s="2" t="str">
        <f>IF(Table1[[#This Row],[Percentage]]&gt;=35%,"Pass","Fail")</f>
        <v>Pass</v>
      </c>
    </row>
    <row r="28" spans="1:18" x14ac:dyDescent="0.25">
      <c r="A28" s="7">
        <v>27</v>
      </c>
      <c r="B28" s="9" t="s">
        <v>28</v>
      </c>
      <c r="C28" s="8">
        <v>327</v>
      </c>
      <c r="D28" s="13">
        <v>33</v>
      </c>
      <c r="E28" s="13">
        <v>33</v>
      </c>
      <c r="F28" s="13">
        <v>33</v>
      </c>
      <c r="G28" s="13">
        <v>33</v>
      </c>
      <c r="H28" s="13">
        <v>33</v>
      </c>
      <c r="I28" s="13">
        <v>33</v>
      </c>
      <c r="J28" s="13">
        <v>44</v>
      </c>
      <c r="K28" s="13">
        <v>50</v>
      </c>
      <c r="L28" s="10">
        <f t="shared" si="1"/>
        <v>292</v>
      </c>
      <c r="M28" s="2" t="str">
        <f t="shared" si="4"/>
        <v>Mosawer</v>
      </c>
      <c r="N28" s="2">
        <f t="shared" si="0"/>
        <v>25</v>
      </c>
      <c r="O28" s="11">
        <f>Table1[[#This Row],[Total]]/750</f>
        <v>0.38933333333333331</v>
      </c>
      <c r="P28" s="11" t="str" cm="1">
        <f t="array" ref="P28">_xlfn.IFS(Q28="Excellent","A",Q28="Very Good","B",Q28="Good","C",Q28="Satisfactory","D",Q28="Needs Improvement","F",Q28="Poor","F",Q28="Absent","Absent")</f>
        <v>F</v>
      </c>
      <c r="Q28" s="1" t="str" cm="1">
        <f t="array" ref="Q28">_xlfn.IFS(Table1[[#This Row],[Percentage]]&gt;=90%,"Excellent",Table1[[#This Row],[Percentage]]&gt;=80%,"Very Good",Table1[[#This Row],[Percentage]]&gt;=70%,"Good",Table1[[#This Row],[Percentage]]&gt;=60%,"Satisfactory",Table1[[#This Row],[Percentage]]&gt;33%,"Needs Improvement",Table1[[#This Row],[Percentage]]&lt;33%,"Poor")</f>
        <v>Needs Improvement</v>
      </c>
      <c r="R28" s="2" t="str">
        <f>IF(Table1[[#This Row],[Percentage]]&gt;=35%,"Pass","Fail")</f>
        <v>Pass</v>
      </c>
    </row>
    <row r="29" spans="1:18" x14ac:dyDescent="0.25">
      <c r="A29" s="7">
        <v>28</v>
      </c>
      <c r="B29" s="9" t="s">
        <v>94</v>
      </c>
      <c r="C29" s="8">
        <v>328</v>
      </c>
      <c r="D29" s="13">
        <v>45</v>
      </c>
      <c r="E29" s="13">
        <v>78</v>
      </c>
      <c r="F29" s="13">
        <v>67</v>
      </c>
      <c r="G29" s="13">
        <v>100</v>
      </c>
      <c r="H29" s="13">
        <v>45</v>
      </c>
      <c r="I29" s="13">
        <v>90</v>
      </c>
      <c r="J29" s="13">
        <v>89</v>
      </c>
      <c r="K29" s="13">
        <v>50</v>
      </c>
      <c r="L29" s="10">
        <f t="shared" si="1"/>
        <v>564</v>
      </c>
      <c r="M29" s="2" t="str">
        <f t="shared" si="4"/>
        <v>Adnan</v>
      </c>
      <c r="N29" s="2">
        <f t="shared" si="0"/>
        <v>5</v>
      </c>
      <c r="O29" s="11">
        <f>Table1[[#This Row],[Total]]/750</f>
        <v>0.752</v>
      </c>
      <c r="P29" s="11" t="str" cm="1">
        <f t="array" ref="P29">_xlfn.IFS(Q29="Excellent","A",Q29="Very Good","B",Q29="Good","C",Q29="Satisfactory","D",Q29="Needs Improvement","F",Q29="Poor","F",Q29="Absent","Absent")</f>
        <v>C</v>
      </c>
      <c r="Q29" s="1" t="str" cm="1">
        <f t="array" ref="Q29">_xlfn.IFS(Table1[[#This Row],[Percentage]]&gt;=90%,"Excellent",Table1[[#This Row],[Percentage]]&gt;=80%,"Very Good",Table1[[#This Row],[Percentage]]&gt;=70%,"Good",Table1[[#This Row],[Percentage]]&gt;=60%,"Satisfactory",Table1[[#This Row],[Percentage]]&gt;33%,"Needs Improvement",Table1[[#This Row],[Percentage]]&lt;33%,"Poor")</f>
        <v>Good</v>
      </c>
      <c r="R29" s="2" t="str">
        <f>IF(Table1[[#This Row],[Percentage]]&gt;=35%,"Pass","Fail")</f>
        <v>Pass</v>
      </c>
    </row>
    <row r="30" spans="1:18" ht="23.25" x14ac:dyDescent="0.25">
      <c r="J30" s="67" t="s">
        <v>86</v>
      </c>
      <c r="K30" s="67"/>
      <c r="L30" s="67"/>
    </row>
    <row r="31" spans="1:18" ht="23.25" x14ac:dyDescent="0.25">
      <c r="J31" s="68" t="s">
        <v>87</v>
      </c>
      <c r="K31" s="68"/>
      <c r="L31" s="68"/>
    </row>
  </sheetData>
  <mergeCells count="2">
    <mergeCell ref="J30:L30"/>
    <mergeCell ref="J31:L31"/>
  </mergeCells>
  <phoneticPr fontId="5" type="noConversion"/>
  <conditionalFormatting sqref="L32:L1048576 L1">
    <cfRule type="top10" dxfId="15" priority="20" rank="3"/>
    <cfRule type="top10" priority="21" rank="3"/>
  </conditionalFormatting>
  <conditionalFormatting sqref="O2:O29 P29">
    <cfRule type="dataBar" priority="2">
      <dataBar>
        <cfvo type="min"/>
        <cfvo type="max"/>
        <color rgb="FF008AEF"/>
      </dataBar>
      <extLst>
        <ext xmlns:x14="http://schemas.microsoft.com/office/spreadsheetml/2009/9/main" uri="{B025F937-C7B1-47D3-B67F-A62EFF666E3E}">
          <x14:id>{37290A87-A47E-4C6C-8DAA-5955F8597887}</x14:id>
        </ext>
      </extLst>
    </cfRule>
  </conditionalFormatting>
  <conditionalFormatting sqref="O1:P1048576">
    <cfRule type="dataBar" priority="15">
      <dataBar>
        <cfvo type="min"/>
        <cfvo type="max"/>
        <color rgb="FFFF555A"/>
      </dataBar>
      <extLst>
        <ext xmlns:x14="http://schemas.microsoft.com/office/spreadsheetml/2009/9/main" uri="{B025F937-C7B1-47D3-B67F-A62EFF666E3E}">
          <x14:id>{48E10D1F-87C3-4C93-A7BD-58AB9C62A5EB}</x14:id>
        </ext>
      </extLst>
    </cfRule>
  </conditionalFormatting>
  <conditionalFormatting sqref="P1:P1048576">
    <cfRule type="containsText" dxfId="14" priority="6" operator="containsText" text="D">
      <formula>NOT(ISERROR(SEARCH("D",P1)))</formula>
    </cfRule>
    <cfRule type="containsText" dxfId="13" priority="7" operator="containsText" text="c">
      <formula>NOT(ISERROR(SEARCH("c",P1)))</formula>
    </cfRule>
    <cfRule type="cellIs" dxfId="12" priority="8" operator="equal">
      <formula>"B"</formula>
    </cfRule>
    <cfRule type="cellIs" dxfId="11" priority="9" operator="equal">
      <formula>"A"</formula>
    </cfRule>
  </conditionalFormatting>
  <conditionalFormatting sqref="P2:P29">
    <cfRule type="cellIs" dxfId="10" priority="4" operator="equal">
      <formula>"f"</formula>
    </cfRule>
    <cfRule type="containsText" dxfId="9" priority="5" operator="containsText" text="D">
      <formula>NOT(ISERROR(SEARCH("D",P2)))</formula>
    </cfRule>
  </conditionalFormatting>
  <conditionalFormatting sqref="Q1:Q1048576">
    <cfRule type="containsText" dxfId="8" priority="1" operator="containsText" text="Needs">
      <formula>NOT(ISERROR(SEARCH("Needs",Q1)))</formula>
    </cfRule>
    <cfRule type="containsText" dxfId="7" priority="11" operator="containsText" text="poor">
      <formula>NOT(ISERROR(SEARCH("poor",Q1)))</formula>
    </cfRule>
    <cfRule type="containsText" dxfId="6" priority="12" operator="containsText" text="average">
      <formula>NOT(ISERROR(SEARCH("average",Q1)))</formula>
    </cfRule>
    <cfRule type="containsText" dxfId="5" priority="13" operator="containsText" text="Good">
      <formula>NOT(ISERROR(SEARCH("Good",Q1)))</formula>
    </cfRule>
    <cfRule type="containsText" dxfId="4" priority="14" operator="containsText" text="Excellent">
      <formula>NOT(ISERROR(SEARCH("Excellent",Q1)))</formula>
    </cfRule>
  </conditionalFormatting>
  <conditionalFormatting sqref="Q2:Q29">
    <cfRule type="containsText" dxfId="3" priority="10" operator="containsText" text="nee">
      <formula>NOT(ISERROR(SEARCH("nee",Q2)))</formula>
    </cfRule>
  </conditionalFormatting>
  <conditionalFormatting sqref="Q30:Q1048576 R1:R29">
    <cfRule type="cellIs" dxfId="2" priority="16" operator="equal">
      <formula>"Pass"</formula>
    </cfRule>
  </conditionalFormatting>
  <conditionalFormatting sqref="R1:R29 Q30:Q1048576">
    <cfRule type="containsText" dxfId="1" priority="17" operator="containsText" text="Fail">
      <formula>NOT(ISERROR(SEARCH("Fail",Q1)))</formula>
    </cfRule>
    <cfRule type="containsText" dxfId="0" priority="18" operator="containsText" text="Pass">
      <formula>NOT(ISERROR(SEARCH("Pass",Q1)))</formula>
    </cfRule>
  </conditionalFormatting>
  <hyperlinks>
    <hyperlink ref="J31:L31" location="Home!A1" display="Click Here" xr:uid="{6537D5B9-110F-42F6-BA7F-DFD2C6A96F6B}"/>
  </hyperlinks>
  <pageMargins left="0.43" right="0.7" top="0.75" bottom="0.75" header="0.3" footer="0.3"/>
  <pageSetup paperSize="9"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37290A87-A47E-4C6C-8DAA-5955F8597887}">
            <x14:dataBar minLength="0" maxLength="100" border="1" negativeBarBorderColorSameAsPositive="0">
              <x14:cfvo type="autoMin"/>
              <x14:cfvo type="autoMax"/>
              <x14:borderColor rgb="FF008AEF"/>
              <x14:negativeFillColor rgb="FFFF0000"/>
              <x14:negativeBorderColor rgb="FFFF0000"/>
              <x14:axisColor rgb="FF000000"/>
            </x14:dataBar>
          </x14:cfRule>
          <xm:sqref>O2:O29 P29</xm:sqref>
        </x14:conditionalFormatting>
        <x14:conditionalFormatting xmlns:xm="http://schemas.microsoft.com/office/excel/2006/main">
          <x14:cfRule type="dataBar" id="{48E10D1F-87C3-4C93-A7BD-58AB9C62A5EB}">
            <x14:dataBar minLength="0" maxLength="100" border="1" negativeBarBorderColorSameAsPositive="0">
              <x14:cfvo type="autoMin"/>
              <x14:cfvo type="autoMax"/>
              <x14:borderColor rgb="FFFF555A"/>
              <x14:negativeFillColor rgb="FFFF0000"/>
              <x14:negativeBorderColor rgb="FFFF0000"/>
              <x14:axisColor rgb="FF000000"/>
            </x14:dataBar>
          </x14:cfRule>
          <xm:sqref>O1:P1048576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2EB07-4D8B-4795-8CEF-AEA4912484E9}">
  <dimension ref="B1:J32"/>
  <sheetViews>
    <sheetView zoomScale="80" zoomScaleNormal="80" workbookViewId="0">
      <selection activeCell="A2" sqref="A2"/>
    </sheetView>
  </sheetViews>
  <sheetFormatPr defaultRowHeight="15" x14ac:dyDescent="0.25"/>
  <cols>
    <col min="1" max="1" width="4.28515625" customWidth="1"/>
    <col min="2" max="2" width="13.140625" bestFit="1" customWidth="1"/>
    <col min="3" max="3" width="12" bestFit="1" customWidth="1"/>
  </cols>
  <sheetData>
    <row r="1" spans="2:10" ht="15.75" thickBot="1" x14ac:dyDescent="0.3"/>
    <row r="2" spans="2:10" ht="16.5" thickTop="1" thickBot="1" x14ac:dyDescent="0.3">
      <c r="B2" s="28" t="s">
        <v>65</v>
      </c>
      <c r="C2" t="s">
        <v>68</v>
      </c>
      <c r="H2" s="69" t="s">
        <v>86</v>
      </c>
      <c r="I2" s="69"/>
      <c r="J2" s="69"/>
    </row>
    <row r="3" spans="2:10" ht="16.5" thickTop="1" thickBot="1" x14ac:dyDescent="0.3">
      <c r="B3" s="29" t="s">
        <v>4</v>
      </c>
      <c r="C3">
        <v>680</v>
      </c>
      <c r="H3" s="69"/>
      <c r="I3" s="69"/>
      <c r="J3" s="69"/>
    </row>
    <row r="4" spans="2:10" ht="16.5" thickTop="1" thickBot="1" x14ac:dyDescent="0.3">
      <c r="B4" s="29" t="s">
        <v>9</v>
      </c>
      <c r="C4">
        <v>470</v>
      </c>
      <c r="H4" s="70" t="s">
        <v>87</v>
      </c>
      <c r="I4" s="70"/>
      <c r="J4" s="70"/>
    </row>
    <row r="5" spans="2:10" ht="16.5" thickTop="1" thickBot="1" x14ac:dyDescent="0.3">
      <c r="B5" s="29" t="s">
        <v>18</v>
      </c>
      <c r="C5">
        <v>455</v>
      </c>
      <c r="H5" s="70"/>
      <c r="I5" s="70"/>
      <c r="J5" s="70"/>
    </row>
    <row r="6" spans="2:10" ht="15.75" thickTop="1" x14ac:dyDescent="0.25">
      <c r="B6" s="29" t="s">
        <v>23</v>
      </c>
      <c r="C6">
        <v>331</v>
      </c>
    </row>
    <row r="7" spans="2:10" x14ac:dyDescent="0.25">
      <c r="B7" s="29" t="s">
        <v>7</v>
      </c>
      <c r="C7">
        <v>722</v>
      </c>
    </row>
    <row r="8" spans="2:10" x14ac:dyDescent="0.25">
      <c r="B8" s="29" t="s">
        <v>12</v>
      </c>
      <c r="C8">
        <v>483</v>
      </c>
    </row>
    <row r="9" spans="2:10" x14ac:dyDescent="0.25">
      <c r="B9" s="29" t="s">
        <v>25</v>
      </c>
      <c r="C9">
        <v>296</v>
      </c>
    </row>
    <row r="10" spans="2:10" x14ac:dyDescent="0.25">
      <c r="B10" s="29" t="s">
        <v>26</v>
      </c>
      <c r="C10">
        <v>311</v>
      </c>
    </row>
    <row r="11" spans="2:10" x14ac:dyDescent="0.25">
      <c r="B11" s="29" t="s">
        <v>14</v>
      </c>
      <c r="C11">
        <v>455</v>
      </c>
    </row>
    <row r="12" spans="2:10" x14ac:dyDescent="0.25">
      <c r="B12" s="29" t="s">
        <v>15</v>
      </c>
      <c r="C12">
        <v>469</v>
      </c>
    </row>
    <row r="13" spans="2:10" x14ac:dyDescent="0.25">
      <c r="B13" s="29" t="s">
        <v>21</v>
      </c>
      <c r="C13">
        <v>370</v>
      </c>
    </row>
    <row r="14" spans="2:10" x14ac:dyDescent="0.25">
      <c r="B14" s="29" t="s">
        <v>10</v>
      </c>
      <c r="C14">
        <v>459</v>
      </c>
    </row>
    <row r="15" spans="2:10" x14ac:dyDescent="0.25">
      <c r="B15" s="29" t="s">
        <v>20</v>
      </c>
      <c r="C15">
        <v>388</v>
      </c>
    </row>
    <row r="16" spans="2:10" x14ac:dyDescent="0.25">
      <c r="B16" s="29" t="s">
        <v>28</v>
      </c>
      <c r="C16">
        <v>292</v>
      </c>
    </row>
    <row r="17" spans="2:3" x14ac:dyDescent="0.25">
      <c r="B17" s="29" t="s">
        <v>16</v>
      </c>
      <c r="C17">
        <v>455</v>
      </c>
    </row>
    <row r="18" spans="2:3" x14ac:dyDescent="0.25">
      <c r="B18" s="29" t="s">
        <v>24</v>
      </c>
      <c r="C18">
        <v>284</v>
      </c>
    </row>
    <row r="19" spans="2:3" x14ac:dyDescent="0.25">
      <c r="B19" s="29" t="s">
        <v>8</v>
      </c>
      <c r="C19">
        <v>399</v>
      </c>
    </row>
    <row r="20" spans="2:3" x14ac:dyDescent="0.25">
      <c r="B20" s="29" t="s">
        <v>22</v>
      </c>
      <c r="C20">
        <v>388</v>
      </c>
    </row>
    <row r="21" spans="2:3" x14ac:dyDescent="0.25">
      <c r="B21" s="29" t="s">
        <v>11</v>
      </c>
      <c r="C21">
        <v>483</v>
      </c>
    </row>
    <row r="22" spans="2:3" x14ac:dyDescent="0.25">
      <c r="B22" s="29" t="s">
        <v>13</v>
      </c>
      <c r="C22">
        <v>389</v>
      </c>
    </row>
    <row r="23" spans="2:3" x14ac:dyDescent="0.25">
      <c r="B23" s="29" t="s">
        <v>17</v>
      </c>
      <c r="C23">
        <v>455</v>
      </c>
    </row>
    <row r="24" spans="2:3" x14ac:dyDescent="0.25">
      <c r="B24" s="29" t="s">
        <v>27</v>
      </c>
      <c r="C24">
        <v>291</v>
      </c>
    </row>
    <row r="25" spans="2:3" x14ac:dyDescent="0.25">
      <c r="B25" s="29" t="s">
        <v>2</v>
      </c>
      <c r="C25">
        <v>359</v>
      </c>
    </row>
    <row r="26" spans="2:3" x14ac:dyDescent="0.25">
      <c r="B26" s="29" t="s">
        <v>19</v>
      </c>
      <c r="C26">
        <v>319</v>
      </c>
    </row>
    <row r="27" spans="2:3" x14ac:dyDescent="0.25">
      <c r="B27" s="29" t="s">
        <v>3</v>
      </c>
      <c r="C27">
        <v>288</v>
      </c>
    </row>
    <row r="28" spans="2:3" x14ac:dyDescent="0.25">
      <c r="B28" s="29" t="s">
        <v>5</v>
      </c>
      <c r="C28">
        <v>693</v>
      </c>
    </row>
    <row r="29" spans="2:3" x14ac:dyDescent="0.25">
      <c r="B29" s="29" t="s">
        <v>6</v>
      </c>
      <c r="C29">
        <v>593</v>
      </c>
    </row>
    <row r="30" spans="2:3" x14ac:dyDescent="0.25">
      <c r="B30" s="29" t="s">
        <v>66</v>
      </c>
    </row>
    <row r="31" spans="2:3" x14ac:dyDescent="0.25">
      <c r="B31" s="29" t="s">
        <v>94</v>
      </c>
      <c r="C31">
        <v>553</v>
      </c>
    </row>
    <row r="32" spans="2:3" x14ac:dyDescent="0.25">
      <c r="B32" s="29" t="s">
        <v>67</v>
      </c>
      <c r="C32">
        <v>12130</v>
      </c>
    </row>
  </sheetData>
  <mergeCells count="2">
    <mergeCell ref="H2:J3"/>
    <mergeCell ref="H4:J5"/>
  </mergeCells>
  <hyperlinks>
    <hyperlink ref="H4:J5" location="Home!A1" display="Click Here" xr:uid="{1C2E217A-9254-4F92-9C06-426BE634EB61}"/>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13AF1-DDF0-45B7-BC6C-FB93C6443FBF}">
  <dimension ref="A1:L6"/>
  <sheetViews>
    <sheetView topLeftCell="A4" zoomScaleNormal="100" workbookViewId="0">
      <selection activeCell="C4" sqref="C4"/>
    </sheetView>
  </sheetViews>
  <sheetFormatPr defaultRowHeight="15" x14ac:dyDescent="0.25"/>
  <cols>
    <col min="1" max="1" width="13.140625" bestFit="1" customWidth="1"/>
    <col min="2" max="2" width="12" bestFit="1" customWidth="1"/>
    <col min="3" max="3" width="8.7109375" bestFit="1" customWidth="1"/>
    <col min="4" max="5" width="12" bestFit="1" customWidth="1"/>
    <col min="6" max="6" width="8.5703125" bestFit="1" customWidth="1"/>
  </cols>
  <sheetData>
    <row r="1" spans="1:12" ht="15.75" thickBot="1" x14ac:dyDescent="0.3"/>
    <row r="2" spans="1:12" ht="15.75" thickTop="1" x14ac:dyDescent="0.25">
      <c r="J2" s="71" t="s">
        <v>86</v>
      </c>
      <c r="K2" s="72"/>
      <c r="L2" s="73"/>
    </row>
    <row r="3" spans="1:12" ht="15.75" thickBot="1" x14ac:dyDescent="0.3">
      <c r="A3" s="28" t="s">
        <v>65</v>
      </c>
      <c r="B3" t="s">
        <v>69</v>
      </c>
      <c r="C3" t="s">
        <v>70</v>
      </c>
      <c r="D3" t="s">
        <v>71</v>
      </c>
      <c r="E3" t="s">
        <v>72</v>
      </c>
      <c r="F3" t="s">
        <v>73</v>
      </c>
      <c r="J3" s="74"/>
      <c r="K3" s="75"/>
      <c r="L3" s="76"/>
    </row>
    <row r="4" spans="1:12" ht="15.75" thickTop="1" x14ac:dyDescent="0.25">
      <c r="A4" s="83" t="s">
        <v>47</v>
      </c>
      <c r="B4" s="84">
        <v>0.10714285714285714</v>
      </c>
      <c r="C4" s="84">
        <v>0</v>
      </c>
      <c r="D4" s="84">
        <v>7.1428571428571425E-2</v>
      </c>
      <c r="E4" s="84">
        <v>0.32142857142857145</v>
      </c>
      <c r="F4" s="84">
        <v>0.5</v>
      </c>
      <c r="G4" s="84"/>
      <c r="J4" s="77" t="s">
        <v>87</v>
      </c>
      <c r="K4" s="78"/>
      <c r="L4" s="79"/>
    </row>
    <row r="5" spans="1:12" ht="15.75" thickBot="1" x14ac:dyDescent="0.3">
      <c r="A5" s="29" t="s">
        <v>58</v>
      </c>
      <c r="B5">
        <v>3</v>
      </c>
      <c r="C5">
        <v>0</v>
      </c>
      <c r="D5">
        <v>2</v>
      </c>
      <c r="E5">
        <v>9</v>
      </c>
      <c r="F5">
        <v>14</v>
      </c>
      <c r="J5" s="80"/>
      <c r="K5" s="81"/>
      <c r="L5" s="82"/>
    </row>
    <row r="6" spans="1:12" ht="15.75" thickTop="1" x14ac:dyDescent="0.25">
      <c r="A6" s="29" t="s">
        <v>67</v>
      </c>
      <c r="B6">
        <v>3.1071428571428572</v>
      </c>
      <c r="C6">
        <v>0</v>
      </c>
      <c r="D6">
        <v>2.0714285714285716</v>
      </c>
      <c r="E6">
        <v>9.3214285714285712</v>
      </c>
      <c r="F6">
        <v>14.5</v>
      </c>
    </row>
  </sheetData>
  <mergeCells count="2">
    <mergeCell ref="J2:L3"/>
    <mergeCell ref="J4:L5"/>
  </mergeCells>
  <hyperlinks>
    <hyperlink ref="J4:L5" location="Home!A1" display="Click Here" xr:uid="{D8B98B3A-03D9-4753-BAA3-02ECF126A6EE}"/>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73AB-385F-4E98-ADFE-3AA50C4707E5}">
  <dimension ref="A3:K12"/>
  <sheetViews>
    <sheetView zoomScale="106" zoomScaleNormal="106" workbookViewId="0">
      <selection activeCell="I15" sqref="I15"/>
    </sheetView>
  </sheetViews>
  <sheetFormatPr defaultRowHeight="15" x14ac:dyDescent="0.25"/>
  <cols>
    <col min="1" max="1" width="14" bestFit="1" customWidth="1"/>
    <col min="2" max="2" width="12" bestFit="1" customWidth="1"/>
    <col min="3" max="3" width="13.28515625" bestFit="1" customWidth="1"/>
    <col min="4" max="4" width="14.42578125" bestFit="1" customWidth="1"/>
    <col min="5" max="5" width="15.140625" bestFit="1" customWidth="1"/>
    <col min="6" max="6" width="15" bestFit="1" customWidth="1"/>
    <col min="7" max="7" width="16.28515625" bestFit="1" customWidth="1"/>
    <col min="8" max="8" width="13.28515625" bestFit="1" customWidth="1"/>
  </cols>
  <sheetData>
    <row r="3" spans="1:11" x14ac:dyDescent="0.25">
      <c r="A3" t="s">
        <v>75</v>
      </c>
      <c r="B3" t="s">
        <v>76</v>
      </c>
      <c r="C3" t="s">
        <v>77</v>
      </c>
      <c r="D3" t="s">
        <v>78</v>
      </c>
      <c r="E3" t="s">
        <v>79</v>
      </c>
      <c r="F3" t="s">
        <v>80</v>
      </c>
      <c r="G3" t="s">
        <v>81</v>
      </c>
      <c r="H3" t="s">
        <v>82</v>
      </c>
    </row>
    <row r="4" spans="1:11" s="2" customFormat="1" x14ac:dyDescent="0.25">
      <c r="A4" s="32">
        <v>44.892857142857146</v>
      </c>
      <c r="B4" s="36">
        <v>42.74074074074074</v>
      </c>
      <c r="C4" s="32">
        <v>72.428571428571431</v>
      </c>
      <c r="D4" s="32">
        <v>68.25</v>
      </c>
      <c r="E4" s="32">
        <v>43.92</v>
      </c>
      <c r="F4" s="32">
        <v>67.357142857142861</v>
      </c>
      <c r="G4" s="32">
        <v>52.444444444444443</v>
      </c>
      <c r="H4" s="32">
        <v>49.285714285714285</v>
      </c>
    </row>
    <row r="7" spans="1:11" ht="15.75" thickBot="1" x14ac:dyDescent="0.3"/>
    <row r="8" spans="1:11" ht="15.75" thickTop="1" x14ac:dyDescent="0.25">
      <c r="I8" s="71" t="s">
        <v>86</v>
      </c>
      <c r="J8" s="72"/>
      <c r="K8" s="73"/>
    </row>
    <row r="9" spans="1:11" ht="15.75" thickBot="1" x14ac:dyDescent="0.3">
      <c r="I9" s="74"/>
      <c r="J9" s="75"/>
      <c r="K9" s="76"/>
    </row>
    <row r="10" spans="1:11" ht="15.75" thickTop="1" x14ac:dyDescent="0.25">
      <c r="I10" s="50" t="s">
        <v>87</v>
      </c>
      <c r="J10" s="51"/>
      <c r="K10" s="52"/>
    </row>
    <row r="11" spans="1:11" ht="15.75" thickBot="1" x14ac:dyDescent="0.3">
      <c r="I11" s="53"/>
      <c r="J11" s="54"/>
      <c r="K11" s="55"/>
    </row>
    <row r="12" spans="1:11" ht="15.75" thickTop="1" x14ac:dyDescent="0.25"/>
  </sheetData>
  <mergeCells count="2">
    <mergeCell ref="I8:K9"/>
    <mergeCell ref="I10:K11"/>
  </mergeCells>
  <hyperlinks>
    <hyperlink ref="I10:K11" location="Home!A1" display="Click Here" xr:uid="{6A9F0396-B4A8-43AC-B0F8-DC2AA5EB3298}"/>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ABF5B-EE87-4A46-B33D-A45E48165C99}">
  <dimension ref="B1:S33"/>
  <sheetViews>
    <sheetView zoomScale="69" zoomScaleNormal="69" workbookViewId="0">
      <selection activeCell="F25" sqref="F25"/>
    </sheetView>
  </sheetViews>
  <sheetFormatPr defaultRowHeight="15" x14ac:dyDescent="0.25"/>
  <cols>
    <col min="2" max="2" width="22.85546875" style="2" bestFit="1" customWidth="1"/>
    <col min="3" max="3" width="10.28515625" bestFit="1" customWidth="1"/>
    <col min="5" max="5" width="7.7109375" style="2" customWidth="1"/>
  </cols>
  <sheetData>
    <row r="1" spans="2:19" ht="23.25" x14ac:dyDescent="0.25">
      <c r="B1" s="41" t="s">
        <v>55</v>
      </c>
    </row>
    <row r="2" spans="2:19" ht="19.5" thickBot="1" x14ac:dyDescent="0.3">
      <c r="B2" s="15"/>
      <c r="C2" s="16"/>
      <c r="I2" s="43" t="s">
        <v>83</v>
      </c>
      <c r="J2" s="43"/>
      <c r="K2" s="43"/>
      <c r="L2" s="43"/>
      <c r="P2" s="43" t="s">
        <v>95</v>
      </c>
      <c r="Q2" s="43"/>
      <c r="R2" s="43"/>
      <c r="S2" s="43"/>
    </row>
    <row r="3" spans="2:19" ht="20.25" thickTop="1" thickBot="1" x14ac:dyDescent="0.35">
      <c r="B3" s="40" t="s">
        <v>60</v>
      </c>
      <c r="C3" s="16"/>
    </row>
    <row r="4" spans="2:19" ht="16.5" thickTop="1" x14ac:dyDescent="0.25">
      <c r="B4" s="39" t="s">
        <v>46</v>
      </c>
      <c r="C4" s="19">
        <f>COUNTA(Table1[Name])</f>
        <v>28</v>
      </c>
      <c r="E4"/>
    </row>
    <row r="5" spans="2:19" ht="15.75" x14ac:dyDescent="0.25">
      <c r="B5" s="17" t="s">
        <v>48</v>
      </c>
      <c r="C5" s="19">
        <f>COUNTIF(Table1[Status],"Pass")</f>
        <v>28</v>
      </c>
      <c r="E5"/>
    </row>
    <row r="6" spans="2:19" ht="15.75" x14ac:dyDescent="0.25">
      <c r="B6" s="17" t="s">
        <v>56</v>
      </c>
      <c r="C6" s="20">
        <f>C5/C4</f>
        <v>1</v>
      </c>
      <c r="E6"/>
    </row>
    <row r="7" spans="2:19" ht="15.75" x14ac:dyDescent="0.25">
      <c r="B7" s="17" t="s">
        <v>49</v>
      </c>
      <c r="C7" s="19">
        <f>COUNTIF(Table1[Status],"Fail")</f>
        <v>0</v>
      </c>
      <c r="E7"/>
    </row>
    <row r="8" spans="2:19" ht="15.75" x14ac:dyDescent="0.25">
      <c r="B8" s="17" t="s">
        <v>59</v>
      </c>
      <c r="C8" s="23">
        <f>AVERAGE(Table1[Total])</f>
        <v>433.60714285714283</v>
      </c>
      <c r="E8"/>
    </row>
    <row r="9" spans="2:19" ht="15.75" x14ac:dyDescent="0.25">
      <c r="B9" s="17" t="s">
        <v>50</v>
      </c>
      <c r="C9" s="20">
        <f>C7/C4</f>
        <v>0</v>
      </c>
      <c r="E9"/>
    </row>
    <row r="10" spans="2:19" ht="15.75" x14ac:dyDescent="0.25">
      <c r="B10" s="37"/>
      <c r="C10" s="38"/>
      <c r="E10"/>
    </row>
    <row r="11" spans="2:19" ht="15.75" customHeight="1" x14ac:dyDescent="0.25">
      <c r="B11" s="59" t="s">
        <v>61</v>
      </c>
      <c r="C11" s="59"/>
      <c r="D11" s="59"/>
      <c r="E11" s="59"/>
    </row>
    <row r="12" spans="2:19" ht="15.75" x14ac:dyDescent="0.25">
      <c r="B12" s="24" t="str" cm="1">
        <f t="array" ref="B12:B16">INDEX(_xlfn.SORTBY(Table1[Name], Table1[Total], -1), _xlfn.SEQUENCE(5))</f>
        <v>Amir Nazir</v>
      </c>
      <c r="C12" s="19" cm="1">
        <f t="array" ref="C12:C16">INDEX(_xlfn.SORTBY(Table1[Total], Table1[Total], -1), _xlfn.SEQUENCE(5))</f>
        <v>722</v>
      </c>
      <c r="D12" s="19" t="str">
        <f>_xlfn.XLOOKUP(C12, Table1[Total],Table1[Grade])</f>
        <v>A</v>
      </c>
      <c r="E12" s="20">
        <f>C12/750</f>
        <v>0.96266666666666667</v>
      </c>
      <c r="F12" s="2"/>
    </row>
    <row r="13" spans="2:19" ht="15.75" x14ac:dyDescent="0.25">
      <c r="B13" s="24" t="str">
        <v>Touseef</v>
      </c>
      <c r="C13" s="19">
        <v>693</v>
      </c>
      <c r="D13" s="19" t="str">
        <f>_xlfn.XLOOKUP(C13, Table1[Total],Table1[Grade])</f>
        <v>A</v>
      </c>
      <c r="E13" s="20">
        <f t="shared" ref="E13:E16" si="0">C13/750</f>
        <v>0.92400000000000004</v>
      </c>
      <c r="F13" s="2"/>
    </row>
    <row r="14" spans="2:19" ht="15.75" x14ac:dyDescent="0.25">
      <c r="B14" s="24" t="str">
        <v>Abid</v>
      </c>
      <c r="C14" s="19">
        <v>680</v>
      </c>
      <c r="D14" s="19" t="str">
        <f>_xlfn.XLOOKUP(C14, Table1[Total],Table1[Grade])</f>
        <v>A</v>
      </c>
      <c r="E14" s="20">
        <f t="shared" si="0"/>
        <v>0.90666666666666662</v>
      </c>
    </row>
    <row r="15" spans="2:19" ht="15.75" x14ac:dyDescent="0.25">
      <c r="B15" s="24" t="str">
        <v>Waqas</v>
      </c>
      <c r="C15" s="19">
        <v>593</v>
      </c>
      <c r="D15" s="19" t="str">
        <f>_xlfn.XLOOKUP(C15, Table1[Total],Table1[Grade])</f>
        <v>C</v>
      </c>
      <c r="E15" s="20">
        <f t="shared" si="0"/>
        <v>0.79066666666666663</v>
      </c>
    </row>
    <row r="16" spans="2:19" ht="15.75" x14ac:dyDescent="0.25">
      <c r="B16" s="24" t="str">
        <v>Adnan</v>
      </c>
      <c r="C16" s="19">
        <v>564</v>
      </c>
      <c r="D16" s="19" t="str">
        <f>_xlfn.XLOOKUP(C16, Table1[Total],Table1[Grade])</f>
        <v>C</v>
      </c>
      <c r="E16" s="20">
        <f t="shared" si="0"/>
        <v>0.752</v>
      </c>
    </row>
    <row r="17" spans="2:15" ht="18.75" x14ac:dyDescent="0.25">
      <c r="B17" s="56" t="s">
        <v>62</v>
      </c>
      <c r="C17" s="57"/>
      <c r="D17" s="57"/>
      <c r="E17" s="58"/>
      <c r="F17" s="14"/>
    </row>
    <row r="18" spans="2:15" ht="15.75" x14ac:dyDescent="0.25">
      <c r="B18" s="25" t="str" cm="1">
        <f t="array" ref="B18:B22">INDEX(_xlfn.SORTBY(Table1[Name], Table1[Total], 1), _xlfn.SEQUENCE(5))</f>
        <v>Qasim</v>
      </c>
      <c r="C18" s="19" cm="1">
        <f t="array" ref="C18:C22">INDEX(_xlfn.SORTBY(Table1[Total], Table1[Total], 1), _xlfn.SEQUENCE(5))</f>
        <v>284</v>
      </c>
      <c r="D18" s="19" t="str">
        <f>_xlfn.XLOOKUP(C18,Table1[Total],Table1[Grade])</f>
        <v>F</v>
      </c>
      <c r="E18" s="18">
        <f>C18/750</f>
        <v>0.37866666666666665</v>
      </c>
    </row>
    <row r="19" spans="2:15" ht="16.5" thickBot="1" x14ac:dyDescent="0.3">
      <c r="B19" s="25" t="str">
        <v>Talha</v>
      </c>
      <c r="C19" s="19">
        <v>288</v>
      </c>
      <c r="D19" s="19" t="str">
        <f>_xlfn.XLOOKUP(C19,Table1[Total],Table1[Grade])</f>
        <v>F</v>
      </c>
      <c r="E19" s="18">
        <f t="shared" ref="E19:E22" si="1">C19/750</f>
        <v>0.38400000000000001</v>
      </c>
    </row>
    <row r="20" spans="2:15" ht="20.25" customHeight="1" thickTop="1" x14ac:dyDescent="0.25">
      <c r="B20" s="25" t="str">
        <v>Seyab</v>
      </c>
      <c r="C20" s="19">
        <v>291</v>
      </c>
      <c r="D20" s="19" t="str">
        <f>_xlfn.XLOOKUP(C20,Table1[Total],Table1[Grade])</f>
        <v>F</v>
      </c>
      <c r="E20" s="18">
        <f t="shared" si="1"/>
        <v>0.38800000000000001</v>
      </c>
      <c r="G20" s="44" t="s">
        <v>86</v>
      </c>
      <c r="H20" s="45"/>
      <c r="I20" s="46"/>
      <c r="L20" s="43" t="s">
        <v>84</v>
      </c>
      <c r="M20" s="43"/>
      <c r="N20" s="43"/>
      <c r="O20" s="43"/>
    </row>
    <row r="21" spans="2:15" ht="17.25" customHeight="1" thickBot="1" x14ac:dyDescent="0.3">
      <c r="B21" s="25" t="str">
        <v>Mosawer</v>
      </c>
      <c r="C21" s="19">
        <v>292</v>
      </c>
      <c r="D21" s="19" t="str">
        <f>_xlfn.XLOOKUP(C21,Table1[Total],Table1[Grade])</f>
        <v>F</v>
      </c>
      <c r="E21" s="18">
        <f t="shared" si="1"/>
        <v>0.38933333333333331</v>
      </c>
      <c r="G21" s="47"/>
      <c r="H21" s="48"/>
      <c r="I21" s="49"/>
    </row>
    <row r="22" spans="2:15" ht="16.5" thickTop="1" x14ac:dyDescent="0.25">
      <c r="B22" s="25" t="str">
        <v xml:space="preserve">Bihzad </v>
      </c>
      <c r="C22" s="19">
        <v>296</v>
      </c>
      <c r="D22" s="19" t="str">
        <f>_xlfn.XLOOKUP(C22,Table1[Total],Table1[Grade])</f>
        <v>F</v>
      </c>
      <c r="E22" s="18">
        <f t="shared" si="1"/>
        <v>0.39466666666666667</v>
      </c>
      <c r="G22" s="50" t="s">
        <v>87</v>
      </c>
      <c r="H22" s="51"/>
      <c r="I22" s="52"/>
    </row>
    <row r="23" spans="2:15" ht="15.75" thickBot="1" x14ac:dyDescent="0.3">
      <c r="G23" s="53"/>
      <c r="H23" s="54"/>
      <c r="I23" s="55"/>
    </row>
    <row r="24" spans="2:15" ht="16.5" thickTop="1" x14ac:dyDescent="0.25">
      <c r="B24" s="26" t="s">
        <v>64</v>
      </c>
      <c r="C24" s="27" t="str" cm="1">
        <f t="array" ref="C24">_xlfn.XLOOKUP(D24,_xlfn.ANCHORARRAY(C12),_xlfn.ANCHORARRAY(B12))</f>
        <v>Amir Nazir</v>
      </c>
      <c r="D24" s="27">
        <f>MAX(_xlfn.ANCHORARRAY(C12))</f>
        <v>722</v>
      </c>
    </row>
    <row r="25" spans="2:15" ht="15.75" x14ac:dyDescent="0.25">
      <c r="B25" s="26" t="s">
        <v>63</v>
      </c>
      <c r="C25" s="27" t="str" cm="1">
        <f t="array" ref="C25">_xlfn.XLOOKUP(D25,_xlfn.ANCHORARRAY(C18),_xlfn.ANCHORARRAY(B18))</f>
        <v>Qasim</v>
      </c>
      <c r="D25" s="27">
        <f>MIN(_xlfn.ANCHORARRAY(C18))</f>
        <v>284</v>
      </c>
    </row>
    <row r="27" spans="2:15" ht="15.75" x14ac:dyDescent="0.25">
      <c r="B27" s="17" t="s">
        <v>57</v>
      </c>
      <c r="C27" s="21" t="s">
        <v>31</v>
      </c>
      <c r="D27" s="21" t="s">
        <v>51</v>
      </c>
      <c r="E27" s="19" t="s">
        <v>52</v>
      </c>
      <c r="F27" s="21" t="s">
        <v>53</v>
      </c>
      <c r="G27" s="21" t="s">
        <v>54</v>
      </c>
    </row>
    <row r="28" spans="2:15" ht="15.75" x14ac:dyDescent="0.25">
      <c r="B28" s="17" t="s">
        <v>58</v>
      </c>
      <c r="C28" s="21">
        <f>COUNTIF(Table1[Grade],"A")</f>
        <v>3</v>
      </c>
      <c r="D28" s="21">
        <f>COUNTIF(Table1[Grade],"B")</f>
        <v>0</v>
      </c>
      <c r="E28" s="21">
        <f>COUNTIF(Table1[Grade],"C")</f>
        <v>2</v>
      </c>
      <c r="F28" s="21">
        <f>COUNTIF(Table1[Grade],"D")</f>
        <v>9</v>
      </c>
      <c r="G28" s="21">
        <f>COUNTIF(Table1[Grade],"F")</f>
        <v>14</v>
      </c>
    </row>
    <row r="29" spans="2:15" ht="15.75" x14ac:dyDescent="0.25">
      <c r="B29" s="17" t="s">
        <v>47</v>
      </c>
      <c r="C29" s="22">
        <f>C28/C4</f>
        <v>0.10714285714285714</v>
      </c>
      <c r="D29" s="22">
        <f>D28/C4</f>
        <v>0</v>
      </c>
      <c r="E29" s="22">
        <f>E28/C4</f>
        <v>7.1428571428571425E-2</v>
      </c>
      <c r="F29" s="22">
        <f>F28/C4</f>
        <v>0.32142857142857145</v>
      </c>
      <c r="G29" s="22">
        <f>G28/C4</f>
        <v>0.5</v>
      </c>
    </row>
    <row r="30" spans="2:15" ht="15.75" x14ac:dyDescent="0.25">
      <c r="B30" s="30"/>
      <c r="C30" s="31"/>
      <c r="D30" s="31"/>
      <c r="E30" s="31"/>
      <c r="F30" s="31"/>
      <c r="G30" s="31"/>
    </row>
    <row r="31" spans="2:15" ht="15.75" x14ac:dyDescent="0.25">
      <c r="B31" s="42" t="s">
        <v>74</v>
      </c>
      <c r="C31" s="42"/>
      <c r="D31" s="42"/>
      <c r="E31" s="42"/>
      <c r="F31" s="42"/>
      <c r="G31" s="42"/>
    </row>
    <row r="32" spans="2:15" x14ac:dyDescent="0.25">
      <c r="B32" s="33" t="s">
        <v>40</v>
      </c>
      <c r="C32" s="33" t="s">
        <v>41</v>
      </c>
      <c r="D32" s="33" t="s">
        <v>38</v>
      </c>
      <c r="E32" s="33" t="s">
        <v>42</v>
      </c>
      <c r="F32" s="33" t="s">
        <v>43</v>
      </c>
      <c r="G32" s="33" t="s">
        <v>0</v>
      </c>
      <c r="H32" s="33" t="s">
        <v>44</v>
      </c>
      <c r="I32" s="33" t="s">
        <v>1</v>
      </c>
    </row>
    <row r="33" spans="2:9" x14ac:dyDescent="0.25">
      <c r="B33" s="34">
        <f>AVERAGE(Table1[English])</f>
        <v>44.892857142857146</v>
      </c>
      <c r="C33" s="35">
        <f>AVERAGE(Table1[Urdu])</f>
        <v>42.74074074074074</v>
      </c>
      <c r="D33" s="35">
        <f>AVERAGE(Table1[Maths])</f>
        <v>72.428571428571431</v>
      </c>
      <c r="E33" s="34">
        <f t="array" ref="E33">AVERAGE(Table1[Science])</f>
        <v>68.642857142857139</v>
      </c>
      <c r="F33" s="34">
        <f t="array" ref="F33">AVERAGE(Table1[Islamyat])</f>
        <v>43.92</v>
      </c>
      <c r="G33" s="34">
        <f t="array" ref="G33">AVERAGE(Table1[Eng Test])</f>
        <v>67.357142857142861</v>
      </c>
      <c r="H33" s="34">
        <f t="array" ref="H33">AVERAGE(Table1[Urdu Test])</f>
        <v>52.444444444444443</v>
      </c>
      <c r="I33" s="34">
        <f t="array" ref="I33">AVERAGE(Table1[Nazira])</f>
        <v>49.285714285714285</v>
      </c>
    </row>
  </sheetData>
  <mergeCells count="8">
    <mergeCell ref="P2:S2"/>
    <mergeCell ref="B31:G31"/>
    <mergeCell ref="I2:L2"/>
    <mergeCell ref="L20:O20"/>
    <mergeCell ref="G20:I21"/>
    <mergeCell ref="G22:I23"/>
    <mergeCell ref="B17:E17"/>
    <mergeCell ref="B11:E11"/>
  </mergeCells>
  <hyperlinks>
    <hyperlink ref="G22:I23" location="Home!A1" display="Click Here" xr:uid="{9EABB227-9AFC-4BE4-BAC2-2A5BE3A6625C}"/>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Raw Data</vt:lpstr>
      <vt:lpstr>Marks analysis</vt:lpstr>
      <vt:lpstr>Grade Distribution </vt:lpstr>
      <vt:lpstr>Subject Average</vt:lpstr>
      <vt:lpstr> Class Metrics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 computer</dc:creator>
  <cp:lastModifiedBy>Abdur  Rahman Dawar</cp:lastModifiedBy>
  <cp:lastPrinted>2025-03-20T10:40:58Z</cp:lastPrinted>
  <dcterms:created xsi:type="dcterms:W3CDTF">2025-03-17T05:46:27Z</dcterms:created>
  <dcterms:modified xsi:type="dcterms:W3CDTF">2026-06-24T12:37:29Z</dcterms:modified>
</cp:coreProperties>
</file>